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j\MATLAB Drive\Second Experiment\Data\Material Comparison Sheets\"/>
    </mc:Choice>
  </mc:AlternateContent>
  <xr:revisionPtr revIDLastSave="0" documentId="13_ncr:1_{7D33941A-A1E7-448F-B739-70DAFCB1727B}" xr6:coauthVersionLast="47" xr6:coauthVersionMax="47" xr10:uidLastSave="{00000000-0000-0000-0000-000000000000}"/>
  <bookViews>
    <workbookView xWindow="-108" yWindow="-108" windowWidth="23256" windowHeight="14016" firstSheet="10" activeTab="12" xr2:uid="{2630DE61-C3E7-4672-9F0B-76E7154BB376}"/>
  </bookViews>
  <sheets>
    <sheet name="UA" sheetId="1" r:id="rId1"/>
    <sheet name="UB" sheetId="4" r:id="rId2"/>
    <sheet name="UC" sheetId="5" r:id="rId3"/>
    <sheet name="UD" sheetId="6" r:id="rId4"/>
    <sheet name="UE" sheetId="7" r:id="rId5"/>
    <sheet name="UF" sheetId="8" r:id="rId6"/>
    <sheet name="UG" sheetId="19" r:id="rId7"/>
    <sheet name="UH" sheetId="20" r:id="rId8"/>
    <sheet name="UI" sheetId="21" r:id="rId9"/>
    <sheet name="UJ" sheetId="22" r:id="rId10"/>
    <sheet name="UK" sheetId="23" r:id="rId11"/>
    <sheet name="UL" sheetId="24" r:id="rId12"/>
    <sheet name="UM" sheetId="25" r:id="rId13"/>
    <sheet name="UN" sheetId="26" r:id="rId14"/>
    <sheet name="UO" sheetId="27" r:id="rId15"/>
    <sheet name="UP" sheetId="28" r:id="rId16"/>
    <sheet name="UQ" sheetId="29" r:id="rId17"/>
    <sheet name="UR" sheetId="30" r:id="rId18"/>
    <sheet name="US" sheetId="31" r:id="rId19"/>
    <sheet name="UT" sheetId="32" r:id="rId20"/>
    <sheet name="UU" sheetId="33" r:id="rId21"/>
    <sheet name="UV" sheetId="9" r:id="rId22"/>
    <sheet name="UW" sheetId="10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5" l="1"/>
  <c r="J15" i="25"/>
  <c r="K15" i="25"/>
  <c r="D15" i="25" s="1" a="1"/>
  <c r="D15" i="25" s="1"/>
  <c r="E15" i="25" s="1"/>
  <c r="L15" i="25"/>
  <c r="O15" i="25"/>
  <c r="P15" i="25"/>
  <c r="Q15" i="25"/>
  <c r="S15" i="25"/>
  <c r="T15" i="25"/>
  <c r="J13" i="19"/>
  <c r="K13" i="19"/>
  <c r="D13" i="19" s="1" a="1"/>
  <c r="D13" i="19" s="1"/>
  <c r="E13" i="19" s="1"/>
  <c r="L13" i="19"/>
  <c r="M13" i="19"/>
  <c r="N13" i="19"/>
  <c r="O13" i="19"/>
  <c r="P13" i="19"/>
  <c r="Q13" i="19"/>
  <c r="R13" i="19"/>
  <c r="S13" i="19"/>
  <c r="T13" i="19"/>
  <c r="J9" i="19"/>
  <c r="M9" i="19"/>
  <c r="N9" i="19"/>
  <c r="D9" i="19" s="1" a="1"/>
  <c r="D9" i="19" s="1"/>
  <c r="O9" i="19"/>
  <c r="P9" i="19"/>
  <c r="Q9" i="19"/>
  <c r="R9" i="19"/>
  <c r="S9" i="19"/>
  <c r="T9" i="19"/>
  <c r="J10" i="19"/>
  <c r="K10" i="19"/>
  <c r="L10" i="19"/>
  <c r="D10" i="19" s="1" a="1"/>
  <c r="D10" i="19" s="1"/>
  <c r="E10" i="19" s="1"/>
  <c r="M10" i="19"/>
  <c r="N10" i="19"/>
  <c r="O10" i="19"/>
  <c r="P10" i="19"/>
  <c r="Q10" i="19"/>
  <c r="R10" i="19"/>
  <c r="S10" i="19"/>
  <c r="T10" i="19"/>
  <c r="I11" i="19"/>
  <c r="L11" i="19"/>
  <c r="M11" i="19"/>
  <c r="P11" i="19"/>
  <c r="Q11" i="19"/>
  <c r="S11" i="19"/>
  <c r="T11" i="19"/>
  <c r="I12" i="19"/>
  <c r="D12" i="19" s="1" a="1"/>
  <c r="D12" i="19" s="1"/>
  <c r="E12" i="19" s="1"/>
  <c r="J12" i="19"/>
  <c r="K12" i="19"/>
  <c r="L12" i="19"/>
  <c r="M12" i="19"/>
  <c r="N12" i="19"/>
  <c r="O12" i="19"/>
  <c r="P12" i="19"/>
  <c r="Q12" i="19"/>
  <c r="S12" i="19"/>
  <c r="T12" i="19"/>
  <c r="D10" i="1" a="1"/>
  <c r="D10" i="1" s="1"/>
  <c r="E10" i="1" s="1"/>
  <c r="D11" i="1" a="1"/>
  <c r="D11" i="1" s="1"/>
  <c r="E11" i="1" s="1"/>
  <c r="D12" i="1" a="1"/>
  <c r="D12" i="1" s="1"/>
  <c r="E12" i="1" s="1"/>
  <c r="D13" i="1" a="1"/>
  <c r="D13" i="1" s="1"/>
  <c r="E13" i="1" s="1"/>
  <c r="R11" i="4"/>
  <c r="D10" i="4" a="1"/>
  <c r="D10" i="4" s="1"/>
  <c r="E10" i="4" s="1"/>
  <c r="D11" i="4" a="1"/>
  <c r="D11" i="4" s="1"/>
  <c r="E11" i="4" s="1"/>
  <c r="D12" i="4" a="1"/>
  <c r="D12" i="4" s="1"/>
  <c r="E12" i="4" s="1"/>
  <c r="D13" i="4" a="1"/>
  <c r="D13" i="4" s="1"/>
  <c r="E13" i="4" s="1"/>
  <c r="M10" i="5"/>
  <c r="D11" i="5" a="1"/>
  <c r="D11" i="5" s="1"/>
  <c r="E11" i="5" s="1"/>
  <c r="D12" i="5" a="1"/>
  <c r="D12" i="5" s="1"/>
  <c r="E12" i="5" s="1"/>
  <c r="D13" i="5" a="1"/>
  <c r="D13" i="5" s="1"/>
  <c r="E13" i="5" s="1"/>
  <c r="D14" i="5" a="1"/>
  <c r="D14" i="5" s="1"/>
  <c r="E14" i="5" s="1"/>
  <c r="D15" i="5" a="1"/>
  <c r="D15" i="5" s="1"/>
  <c r="E15" i="5" s="1"/>
  <c r="J14" i="6"/>
  <c r="R11" i="6"/>
  <c r="D11" i="6" a="1"/>
  <c r="D11" i="6" s="1"/>
  <c r="E11" i="6" s="1"/>
  <c r="D12" i="6" a="1"/>
  <c r="D12" i="6" s="1"/>
  <c r="E12" i="6" s="1"/>
  <c r="D13" i="6" a="1"/>
  <c r="D13" i="6" s="1"/>
  <c r="E13" i="6" s="1"/>
  <c r="D14" i="6" a="1"/>
  <c r="D14" i="6" s="1"/>
  <c r="E14" i="6" s="1"/>
  <c r="D15" i="6" a="1"/>
  <c r="D15" i="6" s="1"/>
  <c r="E15" i="6" s="1"/>
  <c r="R14" i="7"/>
  <c r="D13" i="7" a="1"/>
  <c r="D13" i="7" s="1"/>
  <c r="E13" i="7" s="1"/>
  <c r="I14" i="7"/>
  <c r="D11" i="7" a="1"/>
  <c r="D11" i="7" s="1"/>
  <c r="E11" i="7" s="1"/>
  <c r="D12" i="7" a="1"/>
  <c r="D12" i="7" s="1"/>
  <c r="E12" i="7" s="1"/>
  <c r="D14" i="7" a="1"/>
  <c r="D14" i="7" s="1"/>
  <c r="E14" i="7" s="1"/>
  <c r="D15" i="7" a="1"/>
  <c r="D15" i="7" s="1"/>
  <c r="E15" i="7" s="1"/>
  <c r="J13" i="8"/>
  <c r="D13" i="8" s="1" a="1"/>
  <c r="D13" i="8" s="1"/>
  <c r="E13" i="8" s="1"/>
  <c r="M13" i="8"/>
  <c r="P13" i="8"/>
  <c r="Q13" i="8"/>
  <c r="R13" i="8"/>
  <c r="S13" i="8"/>
  <c r="T13" i="8"/>
  <c r="D11" i="8" a="1"/>
  <c r="D11" i="8" s="1"/>
  <c r="E11" i="8" s="1"/>
  <c r="D12" i="8" a="1"/>
  <c r="D12" i="8" s="1"/>
  <c r="E12" i="8" s="1"/>
  <c r="D14" i="8" a="1"/>
  <c r="D14" i="8" s="1"/>
  <c r="E14" i="8" s="1"/>
  <c r="D15" i="8" a="1"/>
  <c r="D15" i="8"/>
  <c r="E15" i="8" s="1"/>
  <c r="D11" i="19" a="1"/>
  <c r="D11" i="19" s="1"/>
  <c r="E11" i="19" s="1"/>
  <c r="D11" i="20" a="1"/>
  <c r="D11" i="20"/>
  <c r="E11" i="20" s="1"/>
  <c r="D12" i="20" a="1"/>
  <c r="D12" i="20" s="1"/>
  <c r="E12" i="20" s="1"/>
  <c r="D13" i="20" a="1"/>
  <c r="D13" i="20" s="1"/>
  <c r="E13" i="20" s="1"/>
  <c r="D14" i="20" a="1"/>
  <c r="D14" i="20" s="1"/>
  <c r="E14" i="20" s="1"/>
  <c r="D15" i="20" a="1"/>
  <c r="D15" i="20" s="1"/>
  <c r="E15" i="20" s="1"/>
  <c r="D11" i="21" a="1"/>
  <c r="D11" i="21"/>
  <c r="E11" i="21" s="1"/>
  <c r="D12" i="21" a="1"/>
  <c r="D12" i="21"/>
  <c r="E12" i="21"/>
  <c r="D13" i="21" a="1"/>
  <c r="D13" i="21" s="1"/>
  <c r="E13" i="21" s="1"/>
  <c r="D14" i="21" a="1"/>
  <c r="D14" i="21" s="1"/>
  <c r="E14" i="21" s="1"/>
  <c r="D15" i="21" a="1"/>
  <c r="D15" i="21" s="1"/>
  <c r="E15" i="21" s="1"/>
  <c r="J11" i="22"/>
  <c r="D11" i="22" a="1"/>
  <c r="D11" i="22" s="1"/>
  <c r="E11" i="22" s="1"/>
  <c r="D12" i="22" a="1"/>
  <c r="D12" i="22" s="1"/>
  <c r="E12" i="22" s="1"/>
  <c r="D13" i="22" a="1"/>
  <c r="D13" i="22" s="1"/>
  <c r="E13" i="22" s="1"/>
  <c r="D14" i="22" a="1"/>
  <c r="D14" i="22" s="1"/>
  <c r="E14" i="22" s="1"/>
  <c r="D15" i="22" a="1"/>
  <c r="D15" i="22" s="1"/>
  <c r="E15" i="22" s="1"/>
  <c r="J9" i="23"/>
  <c r="D11" i="23" a="1"/>
  <c r="D11" i="23" s="1"/>
  <c r="E11" i="23" s="1"/>
  <c r="D10" i="23" a="1"/>
  <c r="D10" i="23" s="1"/>
  <c r="E10" i="23" s="1"/>
  <c r="D12" i="23" a="1"/>
  <c r="D12" i="23" s="1"/>
  <c r="E12" i="23" s="1"/>
  <c r="D13" i="23" a="1"/>
  <c r="D13" i="23" s="1"/>
  <c r="E13" i="23" s="1"/>
  <c r="D9" i="23" a="1"/>
  <c r="D9" i="23" s="1"/>
  <c r="M11" i="25"/>
  <c r="D11" i="25" a="1"/>
  <c r="D11" i="25"/>
  <c r="E11" i="25" s="1"/>
  <c r="D12" i="25" a="1"/>
  <c r="D12" i="25" s="1"/>
  <c r="E12" i="25" s="1"/>
  <c r="D14" i="25" a="1"/>
  <c r="D14" i="25" s="1"/>
  <c r="E14" i="25" s="1"/>
  <c r="D10" i="25" a="1"/>
  <c r="D10" i="25" s="1"/>
  <c r="I11" i="25"/>
  <c r="J11" i="25"/>
  <c r="K11" i="25"/>
  <c r="L11" i="25"/>
  <c r="N11" i="25"/>
  <c r="O11" i="25"/>
  <c r="P11" i="25"/>
  <c r="Q11" i="25"/>
  <c r="R11" i="25"/>
  <c r="S11" i="25"/>
  <c r="T11" i="25"/>
  <c r="I12" i="25"/>
  <c r="J12" i="25"/>
  <c r="K12" i="25"/>
  <c r="L12" i="25"/>
  <c r="M12" i="25"/>
  <c r="N12" i="25"/>
  <c r="O12" i="25"/>
  <c r="P12" i="25"/>
  <c r="Q12" i="25"/>
  <c r="R12" i="25"/>
  <c r="S12" i="25"/>
  <c r="T12" i="25"/>
  <c r="I13" i="25"/>
  <c r="J13" i="25"/>
  <c r="K13" i="25"/>
  <c r="L13" i="25"/>
  <c r="M13" i="25"/>
  <c r="N13" i="25"/>
  <c r="O13" i="25"/>
  <c r="P13" i="25"/>
  <c r="Q13" i="25"/>
  <c r="R13" i="25"/>
  <c r="S13" i="25"/>
  <c r="T13" i="25"/>
  <c r="I14" i="25"/>
  <c r="J14" i="25"/>
  <c r="K14" i="25"/>
  <c r="L14" i="25"/>
  <c r="M14" i="25"/>
  <c r="N14" i="25"/>
  <c r="O14" i="25"/>
  <c r="P14" i="25"/>
  <c r="Q14" i="25"/>
  <c r="R14" i="25"/>
  <c r="S14" i="25"/>
  <c r="T14" i="25"/>
  <c r="J8" i="24"/>
  <c r="K8" i="24"/>
  <c r="L8" i="24"/>
  <c r="M8" i="24"/>
  <c r="N8" i="24"/>
  <c r="O8" i="24"/>
  <c r="P8" i="24"/>
  <c r="Q8" i="24"/>
  <c r="S8" i="24"/>
  <c r="T8" i="24"/>
  <c r="J9" i="24"/>
  <c r="K9" i="24"/>
  <c r="L9" i="24"/>
  <c r="M9" i="24"/>
  <c r="N9" i="24"/>
  <c r="O9" i="24"/>
  <c r="P9" i="24"/>
  <c r="Q9" i="24"/>
  <c r="R9" i="24"/>
  <c r="S9" i="24"/>
  <c r="T9" i="24"/>
  <c r="J10" i="24"/>
  <c r="K10" i="24"/>
  <c r="M10" i="24"/>
  <c r="N10" i="24"/>
  <c r="O10" i="24"/>
  <c r="Q10" i="24"/>
  <c r="S10" i="24"/>
  <c r="T10" i="24"/>
  <c r="J11" i="24"/>
  <c r="K11" i="24"/>
  <c r="L11" i="24"/>
  <c r="M11" i="24"/>
  <c r="N11" i="24"/>
  <c r="O11" i="24"/>
  <c r="P11" i="24"/>
  <c r="Q11" i="24"/>
  <c r="R11" i="24"/>
  <c r="S11" i="24"/>
  <c r="T11" i="24"/>
  <c r="I9" i="24"/>
  <c r="I10" i="24"/>
  <c r="I11" i="24"/>
  <c r="K9" i="23"/>
  <c r="L9" i="23"/>
  <c r="M9" i="23"/>
  <c r="N9" i="23"/>
  <c r="O9" i="23"/>
  <c r="P9" i="23"/>
  <c r="Q9" i="23"/>
  <c r="R9" i="23"/>
  <c r="S9" i="23"/>
  <c r="T9" i="23"/>
  <c r="K10" i="23"/>
  <c r="L10" i="23"/>
  <c r="M10" i="23"/>
  <c r="N10" i="23"/>
  <c r="O10" i="23"/>
  <c r="P10" i="23"/>
  <c r="Q10" i="23"/>
  <c r="R10" i="23"/>
  <c r="S10" i="23"/>
  <c r="T10" i="23"/>
  <c r="J11" i="23"/>
  <c r="K11" i="23"/>
  <c r="L11" i="23"/>
  <c r="M11" i="23"/>
  <c r="N11" i="23"/>
  <c r="O11" i="23"/>
  <c r="P11" i="23"/>
  <c r="Q11" i="23"/>
  <c r="R11" i="23"/>
  <c r="S11" i="23"/>
  <c r="T11" i="23"/>
  <c r="J12" i="23"/>
  <c r="K12" i="23"/>
  <c r="L12" i="23"/>
  <c r="M12" i="23"/>
  <c r="N12" i="23"/>
  <c r="O12" i="23"/>
  <c r="P12" i="23"/>
  <c r="Q12" i="23"/>
  <c r="R12" i="23"/>
  <c r="S12" i="23"/>
  <c r="T12" i="23"/>
  <c r="L13" i="23"/>
  <c r="M13" i="23"/>
  <c r="N13" i="23"/>
  <c r="O13" i="23"/>
  <c r="P13" i="23"/>
  <c r="Q13" i="23"/>
  <c r="R13" i="23"/>
  <c r="S13" i="23"/>
  <c r="T13" i="23"/>
  <c r="I10" i="23"/>
  <c r="K11" i="22"/>
  <c r="M11" i="22"/>
  <c r="N11" i="22"/>
  <c r="O11" i="22"/>
  <c r="P11" i="22"/>
  <c r="Q11" i="22"/>
  <c r="R11" i="22"/>
  <c r="S11" i="22"/>
  <c r="T11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J13" i="22"/>
  <c r="K13" i="22"/>
  <c r="L13" i="22"/>
  <c r="M13" i="22"/>
  <c r="N13" i="22"/>
  <c r="O13" i="22"/>
  <c r="P13" i="22"/>
  <c r="Q13" i="22"/>
  <c r="R13" i="22"/>
  <c r="S13" i="22"/>
  <c r="T13" i="22"/>
  <c r="I14" i="22"/>
  <c r="K14" i="22"/>
  <c r="L14" i="22"/>
  <c r="M14" i="22"/>
  <c r="N14" i="22"/>
  <c r="O14" i="22"/>
  <c r="P14" i="22"/>
  <c r="Q14" i="22"/>
  <c r="R14" i="22"/>
  <c r="S14" i="22"/>
  <c r="T14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I11" i="21"/>
  <c r="J11" i="21"/>
  <c r="K11" i="21"/>
  <c r="M11" i="21"/>
  <c r="N11" i="21"/>
  <c r="O11" i="21"/>
  <c r="P11" i="21"/>
  <c r="Q11" i="21"/>
  <c r="R11" i="21"/>
  <c r="S11" i="21"/>
  <c r="T11" i="21"/>
  <c r="J12" i="21"/>
  <c r="K12" i="21"/>
  <c r="L12" i="21"/>
  <c r="M12" i="21"/>
  <c r="N12" i="21"/>
  <c r="O12" i="21"/>
  <c r="P12" i="21"/>
  <c r="Q12" i="21"/>
  <c r="S12" i="21"/>
  <c r="T12" i="21"/>
  <c r="I13" i="21"/>
  <c r="K13" i="21"/>
  <c r="L13" i="21"/>
  <c r="M13" i="21"/>
  <c r="O13" i="21"/>
  <c r="P13" i="21"/>
  <c r="Q13" i="21"/>
  <c r="R13" i="21"/>
  <c r="S13" i="21"/>
  <c r="T13" i="21"/>
  <c r="J14" i="21"/>
  <c r="K14" i="21"/>
  <c r="L14" i="21"/>
  <c r="O14" i="21"/>
  <c r="P14" i="21"/>
  <c r="Q14" i="21"/>
  <c r="S14" i="21"/>
  <c r="T14" i="21"/>
  <c r="I15" i="21"/>
  <c r="J15" i="21"/>
  <c r="K15" i="21"/>
  <c r="L15" i="21"/>
  <c r="M15" i="21"/>
  <c r="N15" i="21"/>
  <c r="O15" i="21"/>
  <c r="P15" i="21"/>
  <c r="Q15" i="21"/>
  <c r="S15" i="21"/>
  <c r="T15" i="21"/>
  <c r="K10" i="20"/>
  <c r="L10" i="20"/>
  <c r="M10" i="20"/>
  <c r="P10" i="20"/>
  <c r="Q10" i="20"/>
  <c r="R10" i="20"/>
  <c r="S10" i="20"/>
  <c r="T10" i="20"/>
  <c r="J11" i="20"/>
  <c r="L11" i="20"/>
  <c r="M11" i="20"/>
  <c r="N11" i="20"/>
  <c r="P11" i="20"/>
  <c r="Q11" i="20"/>
  <c r="S11" i="20"/>
  <c r="T11" i="20"/>
  <c r="J12" i="20"/>
  <c r="L12" i="20"/>
  <c r="M12" i="20"/>
  <c r="N12" i="20"/>
  <c r="O12" i="20"/>
  <c r="P12" i="20"/>
  <c r="Q12" i="20"/>
  <c r="S12" i="20"/>
  <c r="T12" i="20"/>
  <c r="J13" i="20"/>
  <c r="L13" i="20"/>
  <c r="M13" i="20"/>
  <c r="N13" i="20"/>
  <c r="O13" i="20"/>
  <c r="P13" i="20"/>
  <c r="Q13" i="20"/>
  <c r="S13" i="20"/>
  <c r="T13" i="20"/>
  <c r="J14" i="20"/>
  <c r="L14" i="20"/>
  <c r="M14" i="20"/>
  <c r="N14" i="20"/>
  <c r="O14" i="20"/>
  <c r="P14" i="20"/>
  <c r="Q14" i="20"/>
  <c r="R14" i="20"/>
  <c r="S14" i="20"/>
  <c r="T14" i="20"/>
  <c r="J15" i="20"/>
  <c r="L15" i="20"/>
  <c r="M15" i="20"/>
  <c r="O15" i="20"/>
  <c r="P15" i="20"/>
  <c r="Q15" i="20"/>
  <c r="S15" i="20"/>
  <c r="T15" i="20"/>
  <c r="I13" i="20"/>
  <c r="I13" i="19"/>
  <c r="J10" i="8"/>
  <c r="L10" i="8"/>
  <c r="M10" i="8"/>
  <c r="N10" i="8"/>
  <c r="D10" i="8" s="1" a="1"/>
  <c r="D10" i="8" s="1"/>
  <c r="E10" i="8" s="1"/>
  <c r="O10" i="8"/>
  <c r="P10" i="8"/>
  <c r="Q10" i="8"/>
  <c r="R10" i="8"/>
  <c r="S10" i="8"/>
  <c r="T10" i="8"/>
  <c r="J11" i="8"/>
  <c r="K11" i="8"/>
  <c r="L11" i="8"/>
  <c r="M11" i="8"/>
  <c r="N11" i="8"/>
  <c r="O11" i="8"/>
  <c r="P11" i="8"/>
  <c r="Q11" i="8"/>
  <c r="R11" i="8"/>
  <c r="S11" i="8"/>
  <c r="T11" i="8"/>
  <c r="K12" i="8"/>
  <c r="L12" i="8"/>
  <c r="M12" i="8"/>
  <c r="P12" i="8"/>
  <c r="Q12" i="8"/>
  <c r="R12" i="8"/>
  <c r="S12" i="8"/>
  <c r="T12" i="8"/>
  <c r="J14" i="8"/>
  <c r="L14" i="8"/>
  <c r="M14" i="8"/>
  <c r="O14" i="8"/>
  <c r="P14" i="8"/>
  <c r="Q14" i="8"/>
  <c r="R14" i="8"/>
  <c r="S14" i="8"/>
  <c r="T14" i="8"/>
  <c r="J15" i="8"/>
  <c r="K15" i="8"/>
  <c r="L15" i="8"/>
  <c r="M15" i="8"/>
  <c r="N15" i="8"/>
  <c r="O15" i="8"/>
  <c r="P15" i="8"/>
  <c r="Q15" i="8"/>
  <c r="R15" i="8"/>
  <c r="S15" i="8"/>
  <c r="T15" i="8"/>
  <c r="I11" i="8"/>
  <c r="I12" i="8"/>
  <c r="I13" i="8"/>
  <c r="I15" i="8"/>
  <c r="J10" i="7"/>
  <c r="L10" i="7"/>
  <c r="M10" i="7"/>
  <c r="N10" i="7"/>
  <c r="O10" i="7"/>
  <c r="P10" i="7"/>
  <c r="Q10" i="7"/>
  <c r="R10" i="7"/>
  <c r="S10" i="7"/>
  <c r="T10" i="7"/>
  <c r="K11" i="7"/>
  <c r="L11" i="7"/>
  <c r="M11" i="7"/>
  <c r="N11" i="7"/>
  <c r="O11" i="7"/>
  <c r="P11" i="7"/>
  <c r="Q11" i="7"/>
  <c r="R11" i="7"/>
  <c r="S11" i="7"/>
  <c r="T11" i="7"/>
  <c r="J12" i="7"/>
  <c r="L12" i="7"/>
  <c r="M12" i="7"/>
  <c r="N12" i="7"/>
  <c r="O12" i="7"/>
  <c r="P12" i="7"/>
  <c r="Q12" i="7"/>
  <c r="S12" i="7"/>
  <c r="T12" i="7"/>
  <c r="K13" i="7"/>
  <c r="L13" i="7"/>
  <c r="M13" i="7"/>
  <c r="N13" i="7"/>
  <c r="O13" i="7"/>
  <c r="P13" i="7"/>
  <c r="Q13" i="7"/>
  <c r="S13" i="7"/>
  <c r="T13" i="7"/>
  <c r="J14" i="7"/>
  <c r="K14" i="7"/>
  <c r="L14" i="7"/>
  <c r="M14" i="7"/>
  <c r="N14" i="7"/>
  <c r="Q14" i="7"/>
  <c r="S14" i="7"/>
  <c r="T14" i="7"/>
  <c r="J15" i="7"/>
  <c r="K15" i="7"/>
  <c r="L15" i="7"/>
  <c r="N15" i="7"/>
  <c r="O15" i="7"/>
  <c r="P15" i="7"/>
  <c r="Q15" i="7"/>
  <c r="R15" i="7"/>
  <c r="S15" i="7"/>
  <c r="T15" i="7"/>
  <c r="I12" i="7"/>
  <c r="I15" i="7"/>
  <c r="J11" i="6"/>
  <c r="K11" i="6"/>
  <c r="L11" i="6"/>
  <c r="M11" i="6"/>
  <c r="N11" i="6"/>
  <c r="O11" i="6"/>
  <c r="P11" i="6"/>
  <c r="Q11" i="6"/>
  <c r="S11" i="6"/>
  <c r="T11" i="6"/>
  <c r="I12" i="6"/>
  <c r="J12" i="6"/>
  <c r="K12" i="6"/>
  <c r="M12" i="6"/>
  <c r="N12" i="6"/>
  <c r="O12" i="6"/>
  <c r="P12" i="6"/>
  <c r="Q12" i="6"/>
  <c r="R12" i="6"/>
  <c r="S12" i="6"/>
  <c r="T12" i="6"/>
  <c r="I13" i="6"/>
  <c r="J13" i="6"/>
  <c r="K13" i="6"/>
  <c r="L13" i="6"/>
  <c r="M13" i="6"/>
  <c r="N13" i="6"/>
  <c r="O13" i="6"/>
  <c r="P13" i="6"/>
  <c r="Q13" i="6"/>
  <c r="R13" i="6"/>
  <c r="S13" i="6"/>
  <c r="T13" i="6"/>
  <c r="I14" i="6"/>
  <c r="K14" i="6"/>
  <c r="M14" i="6"/>
  <c r="N14" i="6"/>
  <c r="O14" i="6"/>
  <c r="P14" i="6"/>
  <c r="Q14" i="6"/>
  <c r="R14" i="6"/>
  <c r="S14" i="6"/>
  <c r="T14" i="6"/>
  <c r="I15" i="6"/>
  <c r="K15" i="6"/>
  <c r="L15" i="6"/>
  <c r="M15" i="6"/>
  <c r="N15" i="6"/>
  <c r="O15" i="6"/>
  <c r="P15" i="6"/>
  <c r="Q15" i="6"/>
  <c r="R15" i="6"/>
  <c r="S15" i="6"/>
  <c r="T15" i="6"/>
  <c r="J10" i="5"/>
  <c r="L10" i="5"/>
  <c r="N10" i="5"/>
  <c r="O10" i="5"/>
  <c r="P10" i="5"/>
  <c r="Q10" i="5"/>
  <c r="R10" i="5"/>
  <c r="S10" i="5"/>
  <c r="T10" i="5"/>
  <c r="K11" i="5"/>
  <c r="L11" i="5"/>
  <c r="M11" i="5"/>
  <c r="N11" i="5"/>
  <c r="O11" i="5"/>
  <c r="P11" i="5"/>
  <c r="Q11" i="5"/>
  <c r="R11" i="5"/>
  <c r="S11" i="5"/>
  <c r="T11" i="5"/>
  <c r="J12" i="5"/>
  <c r="K12" i="5"/>
  <c r="L12" i="5"/>
  <c r="M12" i="5"/>
  <c r="P12" i="5"/>
  <c r="Q12" i="5"/>
  <c r="R12" i="5"/>
  <c r="S12" i="5"/>
  <c r="T12" i="5"/>
  <c r="J13" i="5"/>
  <c r="K13" i="5"/>
  <c r="L13" i="5"/>
  <c r="M13" i="5"/>
  <c r="O13" i="5"/>
  <c r="P13" i="5"/>
  <c r="Q13" i="5"/>
  <c r="R13" i="5"/>
  <c r="S13" i="5"/>
  <c r="T13" i="5"/>
  <c r="J14" i="5"/>
  <c r="K14" i="5"/>
  <c r="L14" i="5"/>
  <c r="M14" i="5"/>
  <c r="N14" i="5"/>
  <c r="O14" i="5"/>
  <c r="P14" i="5"/>
  <c r="Q14" i="5"/>
  <c r="R14" i="5"/>
  <c r="S14" i="5"/>
  <c r="T14" i="5"/>
  <c r="J15" i="5"/>
  <c r="L15" i="5"/>
  <c r="M15" i="5"/>
  <c r="N15" i="5"/>
  <c r="O15" i="5"/>
  <c r="P15" i="5"/>
  <c r="Q15" i="5"/>
  <c r="R15" i="5"/>
  <c r="S15" i="5"/>
  <c r="T15" i="5"/>
  <c r="I11" i="5"/>
  <c r="I12" i="5"/>
  <c r="I13" i="5"/>
  <c r="I14" i="5"/>
  <c r="I15" i="5"/>
  <c r="I10" i="4"/>
  <c r="J10" i="4"/>
  <c r="K10" i="4"/>
  <c r="L10" i="4"/>
  <c r="M10" i="4"/>
  <c r="N10" i="4"/>
  <c r="O10" i="4"/>
  <c r="P10" i="4"/>
  <c r="Q10" i="4"/>
  <c r="S10" i="4"/>
  <c r="T10" i="4"/>
  <c r="I11" i="4"/>
  <c r="J11" i="4"/>
  <c r="K11" i="4"/>
  <c r="L11" i="4"/>
  <c r="M11" i="4"/>
  <c r="N11" i="4"/>
  <c r="O11" i="4"/>
  <c r="Q11" i="4"/>
  <c r="S11" i="4"/>
  <c r="T11" i="4"/>
  <c r="I12" i="4"/>
  <c r="J12" i="4"/>
  <c r="K12" i="4"/>
  <c r="L12" i="4"/>
  <c r="M12" i="4"/>
  <c r="N12" i="4"/>
  <c r="O12" i="4"/>
  <c r="P12" i="4"/>
  <c r="R12" i="4"/>
  <c r="S12" i="4"/>
  <c r="T12" i="4"/>
  <c r="I13" i="4"/>
  <c r="J13" i="4"/>
  <c r="K13" i="4"/>
  <c r="L13" i="4"/>
  <c r="M13" i="4"/>
  <c r="O13" i="4"/>
  <c r="Q13" i="4"/>
  <c r="S13" i="4"/>
  <c r="T13" i="4"/>
  <c r="J9" i="1"/>
  <c r="K9" i="1"/>
  <c r="L9" i="1"/>
  <c r="M9" i="1"/>
  <c r="N9" i="1"/>
  <c r="O9" i="1"/>
  <c r="P9" i="1"/>
  <c r="D9" i="1" s="1" a="1"/>
  <c r="D9" i="1" s="1"/>
  <c r="E9" i="1" s="1"/>
  <c r="Q9" i="1"/>
  <c r="R9" i="1"/>
  <c r="S9" i="1"/>
  <c r="T9" i="1"/>
  <c r="J10" i="1"/>
  <c r="L10" i="1"/>
  <c r="M10" i="1"/>
  <c r="N10" i="1"/>
  <c r="O10" i="1"/>
  <c r="P10" i="1"/>
  <c r="Q10" i="1"/>
  <c r="R10" i="1"/>
  <c r="S10" i="1"/>
  <c r="T10" i="1"/>
  <c r="J11" i="1"/>
  <c r="K11" i="1"/>
  <c r="L11" i="1"/>
  <c r="M11" i="1"/>
  <c r="N11" i="1"/>
  <c r="O11" i="1"/>
  <c r="P11" i="1"/>
  <c r="Q11" i="1"/>
  <c r="R11" i="1"/>
  <c r="S11" i="1"/>
  <c r="T11" i="1"/>
  <c r="J12" i="1"/>
  <c r="K12" i="1"/>
  <c r="L12" i="1"/>
  <c r="M12" i="1"/>
  <c r="O12" i="1"/>
  <c r="P12" i="1"/>
  <c r="Q12" i="1"/>
  <c r="R12" i="1"/>
  <c r="S12" i="1"/>
  <c r="T12" i="1"/>
  <c r="J13" i="1"/>
  <c r="K13" i="1"/>
  <c r="L13" i="1"/>
  <c r="M13" i="1"/>
  <c r="N13" i="1"/>
  <c r="O13" i="1"/>
  <c r="P13" i="1"/>
  <c r="Q13" i="1"/>
  <c r="R13" i="1"/>
  <c r="S13" i="1"/>
  <c r="T13" i="1"/>
  <c r="I11" i="1"/>
  <c r="I12" i="1"/>
  <c r="I13" i="1"/>
  <c r="I9" i="1"/>
  <c r="T9" i="4"/>
  <c r="J9" i="4"/>
  <c r="K9" i="4"/>
  <c r="L9" i="4"/>
  <c r="M9" i="4"/>
  <c r="N9" i="4"/>
  <c r="O9" i="4"/>
  <c r="P9" i="4"/>
  <c r="Q9" i="4"/>
  <c r="R9" i="4"/>
  <c r="S9" i="4"/>
  <c r="I9" i="4"/>
  <c r="D10" i="5" a="1"/>
  <c r="D10" i="5" s="1"/>
  <c r="E10" i="5" s="1"/>
  <c r="I10" i="5"/>
  <c r="T10" i="6"/>
  <c r="S10" i="6"/>
  <c r="R10" i="6"/>
  <c r="Q10" i="6"/>
  <c r="P10" i="6"/>
  <c r="O10" i="6"/>
  <c r="N10" i="6"/>
  <c r="M10" i="6"/>
  <c r="L10" i="6"/>
  <c r="K10" i="6"/>
  <c r="J10" i="6"/>
  <c r="D10" i="6" a="1"/>
  <c r="D10" i="6" s="1"/>
  <c r="E10" i="6" s="1"/>
  <c r="I10" i="7"/>
  <c r="I10" i="8"/>
  <c r="D10" i="20" a="1"/>
  <c r="D10" i="20" s="1"/>
  <c r="E10" i="20" s="1"/>
  <c r="T10" i="21"/>
  <c r="S10" i="21"/>
  <c r="R10" i="21"/>
  <c r="Q10" i="21"/>
  <c r="P10" i="21"/>
  <c r="N10" i="21"/>
  <c r="D10" i="21" s="1" a="1"/>
  <c r="D10" i="21" s="1"/>
  <c r="E10" i="21" s="1"/>
  <c r="M10" i="21"/>
  <c r="L10" i="21"/>
  <c r="K10" i="21"/>
  <c r="J10" i="21"/>
  <c r="I10" i="21"/>
  <c r="T10" i="22"/>
  <c r="S10" i="22"/>
  <c r="R10" i="22"/>
  <c r="Q10" i="22"/>
  <c r="P10" i="22"/>
  <c r="O10" i="22"/>
  <c r="N10" i="22"/>
  <c r="M10" i="22"/>
  <c r="K10" i="22"/>
  <c r="D10" i="22" a="1"/>
  <c r="D10" i="22" s="1"/>
  <c r="E10" i="22" s="1"/>
  <c r="I10" i="22"/>
  <c r="I8" i="24"/>
  <c r="K10" i="25"/>
  <c r="L10" i="25"/>
  <c r="M10" i="25"/>
  <c r="N10" i="25"/>
  <c r="O10" i="25"/>
  <c r="P10" i="25"/>
  <c r="Q10" i="25"/>
  <c r="R10" i="25"/>
  <c r="S10" i="25"/>
  <c r="T10" i="25"/>
  <c r="D10" i="7" a="1"/>
  <c r="D10" i="7" s="1"/>
  <c r="E10" i="7" s="1"/>
  <c r="D10" i="26" a="1"/>
  <c r="D10" i="26" s="1"/>
  <c r="E10" i="26" s="1"/>
  <c r="J10" i="26"/>
  <c r="K10" i="26"/>
  <c r="M10" i="26"/>
  <c r="N10" i="26"/>
  <c r="O10" i="26"/>
  <c r="P10" i="26"/>
  <c r="Q10" i="26"/>
  <c r="R10" i="26"/>
  <c r="S10" i="26"/>
  <c r="T10" i="26"/>
  <c r="K11" i="26"/>
  <c r="M11" i="26"/>
  <c r="N11" i="26"/>
  <c r="O11" i="26"/>
  <c r="P11" i="26"/>
  <c r="Q11" i="26"/>
  <c r="R11" i="26"/>
  <c r="S11" i="26"/>
  <c r="T11" i="26"/>
  <c r="J12" i="26"/>
  <c r="K12" i="26"/>
  <c r="L12" i="26"/>
  <c r="M12" i="26"/>
  <c r="N12" i="26"/>
  <c r="O12" i="26"/>
  <c r="P12" i="26"/>
  <c r="Q12" i="26"/>
  <c r="R12" i="26"/>
  <c r="S12" i="26"/>
  <c r="T12" i="26"/>
  <c r="J13" i="26"/>
  <c r="K13" i="26"/>
  <c r="L13" i="26"/>
  <c r="M13" i="26"/>
  <c r="N13" i="26"/>
  <c r="O13" i="26"/>
  <c r="P13" i="26"/>
  <c r="Q13" i="26"/>
  <c r="R13" i="26"/>
  <c r="S13" i="26"/>
  <c r="T13" i="26"/>
  <c r="K14" i="26"/>
  <c r="L14" i="26"/>
  <c r="M14" i="26"/>
  <c r="N14" i="26"/>
  <c r="O14" i="26"/>
  <c r="P14" i="26"/>
  <c r="Q14" i="26"/>
  <c r="D14" i="26" s="1" a="1"/>
  <c r="D14" i="26" s="1"/>
  <c r="E14" i="26" s="1"/>
  <c r="R14" i="26"/>
  <c r="S14" i="26"/>
  <c r="T14" i="26"/>
  <c r="J15" i="26"/>
  <c r="K15" i="26"/>
  <c r="D15" i="26" s="1" a="1"/>
  <c r="D15" i="26" s="1"/>
  <c r="E15" i="26" s="1"/>
  <c r="L15" i="26"/>
  <c r="M15" i="26"/>
  <c r="N15" i="26"/>
  <c r="O15" i="26"/>
  <c r="P15" i="26"/>
  <c r="Q15" i="26"/>
  <c r="R15" i="26"/>
  <c r="S15" i="26"/>
  <c r="T15" i="26"/>
  <c r="I11" i="26"/>
  <c r="D11" i="26" s="1" a="1"/>
  <c r="D11" i="26" s="1"/>
  <c r="E11" i="26" s="1"/>
  <c r="I12" i="26"/>
  <c r="D12" i="26" s="1" a="1"/>
  <c r="D12" i="26" s="1"/>
  <c r="E12" i="26" s="1"/>
  <c r="I13" i="26"/>
  <c r="D13" i="26" s="1" a="1"/>
  <c r="D13" i="26" s="1"/>
  <c r="E13" i="26" s="1"/>
  <c r="I10" i="26"/>
  <c r="J14" i="27"/>
  <c r="N12" i="27"/>
  <c r="D12" i="27" s="1" a="1"/>
  <c r="D12" i="27" s="1"/>
  <c r="E12" i="27" s="1"/>
  <c r="K10" i="27"/>
  <c r="D11" i="27" a="1"/>
  <c r="D11" i="27" s="1"/>
  <c r="E11" i="27" s="1"/>
  <c r="D13" i="27" a="1"/>
  <c r="D13" i="27" s="1"/>
  <c r="E13" i="27" s="1"/>
  <c r="D14" i="27" a="1"/>
  <c r="D14" i="27" s="1"/>
  <c r="E14" i="27" s="1"/>
  <c r="D15" i="27" a="1"/>
  <c r="D15" i="27" s="1"/>
  <c r="E15" i="27" s="1"/>
  <c r="J10" i="27"/>
  <c r="D10" i="27" a="1"/>
  <c r="D10" i="27" s="1"/>
  <c r="E10" i="27" s="1"/>
  <c r="M10" i="27"/>
  <c r="N10" i="27"/>
  <c r="O10" i="27"/>
  <c r="P10" i="27"/>
  <c r="Q10" i="27"/>
  <c r="R10" i="27"/>
  <c r="S10" i="27"/>
  <c r="T10" i="27"/>
  <c r="L11" i="27"/>
  <c r="M11" i="27"/>
  <c r="N11" i="27"/>
  <c r="O11" i="27"/>
  <c r="P11" i="27"/>
  <c r="Q11" i="27"/>
  <c r="R11" i="27"/>
  <c r="S11" i="27"/>
  <c r="T11" i="27"/>
  <c r="J12" i="27"/>
  <c r="M12" i="27"/>
  <c r="O12" i="27"/>
  <c r="P12" i="27"/>
  <c r="Q12" i="27"/>
  <c r="R12" i="27"/>
  <c r="S12" i="27"/>
  <c r="T12" i="27"/>
  <c r="K13" i="27"/>
  <c r="M13" i="27"/>
  <c r="N13" i="27"/>
  <c r="O13" i="27"/>
  <c r="P13" i="27"/>
  <c r="Q13" i="27"/>
  <c r="R13" i="27"/>
  <c r="S13" i="27"/>
  <c r="T13" i="27"/>
  <c r="K14" i="27"/>
  <c r="M14" i="27"/>
  <c r="N14" i="27"/>
  <c r="O14" i="27"/>
  <c r="P14" i="27"/>
  <c r="Q14" i="27"/>
  <c r="R14" i="27"/>
  <c r="S14" i="27"/>
  <c r="T14" i="27"/>
  <c r="L15" i="27"/>
  <c r="N15" i="27"/>
  <c r="O15" i="27"/>
  <c r="P15" i="27"/>
  <c r="Q15" i="27"/>
  <c r="R15" i="27"/>
  <c r="S15" i="27"/>
  <c r="T15" i="27"/>
  <c r="I11" i="27"/>
  <c r="I12" i="27"/>
  <c r="I14" i="27"/>
  <c r="I15" i="27"/>
  <c r="I10" i="27"/>
  <c r="M14" i="28"/>
  <c r="D15" i="28" a="1"/>
  <c r="D15" i="28" s="1"/>
  <c r="E15" i="28" s="1"/>
  <c r="M13" i="28"/>
  <c r="D13" i="28" s="1" a="1"/>
  <c r="D13" i="28" s="1"/>
  <c r="E13" i="28" s="1"/>
  <c r="M12" i="28"/>
  <c r="D11" i="28" a="1"/>
  <c r="D11" i="28" s="1"/>
  <c r="E11" i="28" s="1"/>
  <c r="D12" i="28" a="1"/>
  <c r="D12" i="28" s="1"/>
  <c r="E12" i="28" s="1"/>
  <c r="D14" i="28" a="1"/>
  <c r="D14" i="28" s="1"/>
  <c r="E14" i="28" s="1"/>
  <c r="O10" i="28"/>
  <c r="D10" i="28" a="1"/>
  <c r="D10" i="28" s="1"/>
  <c r="K10" i="28"/>
  <c r="M10" i="28"/>
  <c r="N10" i="28"/>
  <c r="P10" i="28"/>
  <c r="Q10" i="28"/>
  <c r="R10" i="28"/>
  <c r="S10" i="28"/>
  <c r="T10" i="28"/>
  <c r="L11" i="28"/>
  <c r="M11" i="28"/>
  <c r="N11" i="28"/>
  <c r="P11" i="28"/>
  <c r="Q11" i="28"/>
  <c r="R11" i="28"/>
  <c r="S11" i="28"/>
  <c r="T11" i="28"/>
  <c r="J12" i="28"/>
  <c r="L12" i="28"/>
  <c r="P12" i="28"/>
  <c r="Q12" i="28"/>
  <c r="R12" i="28"/>
  <c r="S12" i="28"/>
  <c r="T12" i="28"/>
  <c r="J13" i="28"/>
  <c r="K13" i="28"/>
  <c r="N13" i="28"/>
  <c r="O13" i="28"/>
  <c r="P13" i="28"/>
  <c r="Q13" i="28"/>
  <c r="R13" i="28"/>
  <c r="S13" i="28"/>
  <c r="T13" i="28"/>
  <c r="J14" i="28"/>
  <c r="K14" i="28"/>
  <c r="N14" i="28"/>
  <c r="O14" i="28"/>
  <c r="P14" i="28"/>
  <c r="Q14" i="28"/>
  <c r="R14" i="28"/>
  <c r="S14" i="28"/>
  <c r="T14" i="28"/>
  <c r="J15" i="28"/>
  <c r="K15" i="28"/>
  <c r="L15" i="28"/>
  <c r="N15" i="28"/>
  <c r="O15" i="28"/>
  <c r="P15" i="28"/>
  <c r="Q15" i="28"/>
  <c r="R15" i="28"/>
  <c r="S15" i="28"/>
  <c r="T15" i="28"/>
  <c r="I11" i="28"/>
  <c r="I12" i="28"/>
  <c r="I13" i="28"/>
  <c r="I14" i="28"/>
  <c r="I15" i="28"/>
  <c r="I10" i="28"/>
  <c r="L14" i="29"/>
  <c r="I15" i="29"/>
  <c r="J15" i="29"/>
  <c r="D15" i="29" s="1" a="1"/>
  <c r="D15" i="29" s="1"/>
  <c r="E15" i="29" s="1"/>
  <c r="K15" i="29"/>
  <c r="M15" i="29"/>
  <c r="N15" i="29"/>
  <c r="O15" i="29"/>
  <c r="P15" i="29"/>
  <c r="Q15" i="29"/>
  <c r="R15" i="29"/>
  <c r="S15" i="29"/>
  <c r="T15" i="29"/>
  <c r="J10" i="29"/>
  <c r="L10" i="29"/>
  <c r="M10" i="29"/>
  <c r="N10" i="29"/>
  <c r="O10" i="29"/>
  <c r="P10" i="29"/>
  <c r="Q10" i="29"/>
  <c r="R10" i="29"/>
  <c r="S10" i="29"/>
  <c r="T10" i="29"/>
  <c r="J11" i="29"/>
  <c r="L11" i="29"/>
  <c r="M11" i="29"/>
  <c r="N11" i="29"/>
  <c r="O11" i="29"/>
  <c r="P11" i="29"/>
  <c r="Q11" i="29"/>
  <c r="R11" i="29"/>
  <c r="S11" i="29"/>
  <c r="T11" i="29"/>
  <c r="J12" i="29"/>
  <c r="K12" i="29"/>
  <c r="L12" i="29"/>
  <c r="M12" i="29"/>
  <c r="N12" i="29"/>
  <c r="O12" i="29"/>
  <c r="P12" i="29"/>
  <c r="Q12" i="29"/>
  <c r="R12" i="29"/>
  <c r="S12" i="29"/>
  <c r="T12" i="29"/>
  <c r="J13" i="29"/>
  <c r="D13" i="29" s="1" a="1"/>
  <c r="D13" i="29" s="1"/>
  <c r="E13" i="29" s="1"/>
  <c r="K13" i="29"/>
  <c r="L13" i="29"/>
  <c r="M13" i="29"/>
  <c r="N13" i="29"/>
  <c r="O13" i="29"/>
  <c r="P13" i="29"/>
  <c r="Q13" i="29"/>
  <c r="R13" i="29"/>
  <c r="S13" i="29"/>
  <c r="T13" i="29"/>
  <c r="J14" i="29"/>
  <c r="K14" i="29"/>
  <c r="M14" i="29"/>
  <c r="N14" i="29"/>
  <c r="O14" i="29"/>
  <c r="P14" i="29"/>
  <c r="Q14" i="29"/>
  <c r="R14" i="29"/>
  <c r="S14" i="29"/>
  <c r="T14" i="29"/>
  <c r="I11" i="29"/>
  <c r="D11" i="29" s="1" a="1"/>
  <c r="D11" i="29" s="1"/>
  <c r="E11" i="29" s="1"/>
  <c r="I12" i="29"/>
  <c r="D12" i="29" s="1" a="1"/>
  <c r="D12" i="29" s="1"/>
  <c r="E12" i="29" s="1"/>
  <c r="I14" i="29"/>
  <c r="D14" i="29" s="1" a="1"/>
  <c r="D14" i="29" s="1"/>
  <c r="E14" i="29" s="1"/>
  <c r="I10" i="29"/>
  <c r="D10" i="29" s="1" a="1"/>
  <c r="D10" i="29" s="1"/>
  <c r="E10" i="29" s="1"/>
  <c r="M13" i="30"/>
  <c r="R12" i="30"/>
  <c r="D11" i="30" a="1"/>
  <c r="D11" i="30" s="1"/>
  <c r="E11" i="30" s="1"/>
  <c r="D12" i="30" a="1"/>
  <c r="D12" i="30" s="1"/>
  <c r="E12" i="30" s="1"/>
  <c r="D13" i="30" a="1"/>
  <c r="D13" i="30" s="1"/>
  <c r="E13" i="30" s="1"/>
  <c r="D14" i="30" a="1"/>
  <c r="D14" i="30"/>
  <c r="E14" i="30"/>
  <c r="D15" i="30" a="1"/>
  <c r="D15" i="30" s="1"/>
  <c r="E15" i="30" s="1"/>
  <c r="R11" i="30"/>
  <c r="M10" i="30"/>
  <c r="D10" i="30" a="1"/>
  <c r="D10" i="30" s="1"/>
  <c r="J10" i="30"/>
  <c r="K10" i="30"/>
  <c r="L10" i="30"/>
  <c r="N10" i="30"/>
  <c r="O10" i="30"/>
  <c r="P10" i="30"/>
  <c r="Q10" i="30"/>
  <c r="R10" i="30"/>
  <c r="S10" i="30"/>
  <c r="T10" i="30"/>
  <c r="J11" i="30"/>
  <c r="K11" i="30"/>
  <c r="L11" i="30"/>
  <c r="M11" i="30"/>
  <c r="N11" i="30"/>
  <c r="O11" i="30"/>
  <c r="P11" i="30"/>
  <c r="Q11" i="30"/>
  <c r="S11" i="30"/>
  <c r="T11" i="30"/>
  <c r="J12" i="30"/>
  <c r="K12" i="30"/>
  <c r="L12" i="30"/>
  <c r="M12" i="30"/>
  <c r="N12" i="30"/>
  <c r="O12" i="30"/>
  <c r="P12" i="30"/>
  <c r="Q12" i="30"/>
  <c r="S12" i="30"/>
  <c r="T12" i="30"/>
  <c r="J13" i="30"/>
  <c r="K13" i="30"/>
  <c r="L13" i="30"/>
  <c r="N13" i="30"/>
  <c r="O13" i="30"/>
  <c r="P13" i="30"/>
  <c r="Q13" i="30"/>
  <c r="R13" i="30"/>
  <c r="S13" i="30"/>
  <c r="T13" i="30"/>
  <c r="J14" i="30"/>
  <c r="K14" i="30"/>
  <c r="L14" i="30"/>
  <c r="M14" i="30"/>
  <c r="N14" i="30"/>
  <c r="O14" i="30"/>
  <c r="P14" i="30"/>
  <c r="Q14" i="30"/>
  <c r="R14" i="30"/>
  <c r="S14" i="30"/>
  <c r="T14" i="30"/>
  <c r="J15" i="30"/>
  <c r="K15" i="30"/>
  <c r="L15" i="30"/>
  <c r="M15" i="30"/>
  <c r="N15" i="30"/>
  <c r="O15" i="30"/>
  <c r="P15" i="30"/>
  <c r="Q15" i="30"/>
  <c r="S15" i="30"/>
  <c r="T15" i="30"/>
  <c r="I11" i="30"/>
  <c r="I12" i="30"/>
  <c r="I13" i="30"/>
  <c r="I14" i="30"/>
  <c r="I15" i="30"/>
  <c r="I10" i="30"/>
  <c r="R13" i="31"/>
  <c r="J12" i="31"/>
  <c r="R10" i="31"/>
  <c r="J10" i="31"/>
  <c r="J9" i="31"/>
  <c r="R9" i="31"/>
  <c r="I10" i="31"/>
  <c r="D10" i="31" s="1" a="1"/>
  <c r="D10" i="31" s="1"/>
  <c r="E10" i="31" s="1"/>
  <c r="L10" i="31"/>
  <c r="M10" i="31"/>
  <c r="N10" i="31"/>
  <c r="O10" i="31"/>
  <c r="P10" i="31"/>
  <c r="Q10" i="31"/>
  <c r="S10" i="31"/>
  <c r="T10" i="31"/>
  <c r="I11" i="31"/>
  <c r="D11" i="31" s="1" a="1"/>
  <c r="D11" i="31" s="1"/>
  <c r="E11" i="31" s="1"/>
  <c r="J11" i="31"/>
  <c r="K11" i="31"/>
  <c r="L11" i="31"/>
  <c r="M11" i="31"/>
  <c r="N11" i="31"/>
  <c r="O11" i="31"/>
  <c r="P11" i="31"/>
  <c r="Q11" i="31"/>
  <c r="R11" i="31"/>
  <c r="S11" i="31"/>
  <c r="T11" i="31"/>
  <c r="I12" i="31"/>
  <c r="D12" i="31" s="1" a="1"/>
  <c r="D12" i="31" s="1"/>
  <c r="E12" i="31" s="1"/>
  <c r="K12" i="31"/>
  <c r="L12" i="31"/>
  <c r="M12" i="31"/>
  <c r="N12" i="31"/>
  <c r="O12" i="31"/>
  <c r="P12" i="31"/>
  <c r="Q12" i="31"/>
  <c r="R12" i="31"/>
  <c r="S12" i="31"/>
  <c r="T12" i="31"/>
  <c r="I13" i="31"/>
  <c r="D13" i="31" s="1" a="1"/>
  <c r="D13" i="31" s="1"/>
  <c r="E13" i="31" s="1"/>
  <c r="K13" i="31"/>
  <c r="L13" i="31"/>
  <c r="M13" i="31"/>
  <c r="N13" i="31"/>
  <c r="P13" i="31"/>
  <c r="Q13" i="31"/>
  <c r="S13" i="31"/>
  <c r="T13" i="31"/>
  <c r="L9" i="31"/>
  <c r="M9" i="31"/>
  <c r="N9" i="31"/>
  <c r="O9" i="31"/>
  <c r="P9" i="31"/>
  <c r="Q9" i="31"/>
  <c r="S9" i="31"/>
  <c r="T9" i="31"/>
  <c r="I9" i="31"/>
  <c r="D9" i="31" s="1" a="1"/>
  <c r="D9" i="31" s="1"/>
  <c r="E9" i="31" s="1"/>
  <c r="R10" i="32"/>
  <c r="O9" i="32"/>
  <c r="D9" i="32" s="1" a="1"/>
  <c r="D9" i="32" s="1"/>
  <c r="E9" i="32" s="1"/>
  <c r="R9" i="32"/>
  <c r="D11" i="32" a="1"/>
  <c r="D11" i="32" s="1"/>
  <c r="E11" i="32" s="1"/>
  <c r="K8" i="32"/>
  <c r="M8" i="32"/>
  <c r="O8" i="32"/>
  <c r="P8" i="32"/>
  <c r="Q8" i="32"/>
  <c r="S8" i="32"/>
  <c r="T8" i="32"/>
  <c r="M9" i="32"/>
  <c r="N9" i="32"/>
  <c r="P9" i="32"/>
  <c r="Q9" i="32"/>
  <c r="S9" i="32"/>
  <c r="T9" i="32"/>
  <c r="M10" i="32"/>
  <c r="P10" i="32"/>
  <c r="Q10" i="32"/>
  <c r="S10" i="32"/>
  <c r="T10" i="32"/>
  <c r="M11" i="32"/>
  <c r="N11" i="32"/>
  <c r="P11" i="32"/>
  <c r="Q11" i="32"/>
  <c r="S11" i="32"/>
  <c r="T11" i="32"/>
  <c r="I9" i="32"/>
  <c r="I10" i="32"/>
  <c r="D10" i="32" s="1" a="1"/>
  <c r="D10" i="32" s="1"/>
  <c r="E10" i="32" s="1"/>
  <c r="I11" i="32"/>
  <c r="I8" i="32"/>
  <c r="R9" i="33"/>
  <c r="D9" i="33" s="1" a="1"/>
  <c r="D9" i="33" s="1"/>
  <c r="E9" i="33" s="1"/>
  <c r="R8" i="33"/>
  <c r="D8" i="33" s="1" a="1"/>
  <c r="D8" i="33" s="1"/>
  <c r="E8" i="33" s="1"/>
  <c r="R7" i="33"/>
  <c r="D7" i="33" a="1"/>
  <c r="D7" i="33" s="1"/>
  <c r="O7" i="33"/>
  <c r="P7" i="33"/>
  <c r="Q7" i="33"/>
  <c r="S7" i="33"/>
  <c r="M8" i="33"/>
  <c r="N8" i="33"/>
  <c r="O8" i="33"/>
  <c r="P8" i="33"/>
  <c r="Q8" i="33"/>
  <c r="S8" i="33"/>
  <c r="T8" i="33"/>
  <c r="M9" i="33"/>
  <c r="N9" i="33"/>
  <c r="O9" i="33"/>
  <c r="P9" i="33"/>
  <c r="Q9" i="33"/>
  <c r="S9" i="33"/>
  <c r="T9" i="33"/>
  <c r="I8" i="33"/>
  <c r="I7" i="33"/>
  <c r="I15" i="9"/>
  <c r="J15" i="9"/>
  <c r="D15" i="9" s="1" a="1"/>
  <c r="D15" i="9" s="1"/>
  <c r="E15" i="9" s="1"/>
  <c r="K15" i="9"/>
  <c r="L15" i="9"/>
  <c r="M15" i="9"/>
  <c r="N15" i="9"/>
  <c r="O15" i="9"/>
  <c r="P15" i="9"/>
  <c r="Q15" i="9"/>
  <c r="R15" i="9"/>
  <c r="S15" i="9"/>
  <c r="T15" i="9"/>
  <c r="J10" i="9"/>
  <c r="L10" i="9"/>
  <c r="M10" i="9"/>
  <c r="N10" i="9"/>
  <c r="O10" i="9"/>
  <c r="P10" i="9"/>
  <c r="Q10" i="9"/>
  <c r="D10" i="9" s="1" a="1"/>
  <c r="D10" i="9" s="1"/>
  <c r="R10" i="9"/>
  <c r="S10" i="9"/>
  <c r="T10" i="9"/>
  <c r="J11" i="9"/>
  <c r="K11" i="9"/>
  <c r="L11" i="9"/>
  <c r="M11" i="9"/>
  <c r="N11" i="9"/>
  <c r="O11" i="9"/>
  <c r="P11" i="9"/>
  <c r="Q11" i="9"/>
  <c r="R11" i="9"/>
  <c r="S11" i="9"/>
  <c r="T11" i="9"/>
  <c r="J12" i="9"/>
  <c r="K12" i="9"/>
  <c r="L12" i="9"/>
  <c r="M12" i="9"/>
  <c r="N12" i="9"/>
  <c r="O12" i="9"/>
  <c r="P12" i="9"/>
  <c r="Q12" i="9"/>
  <c r="R12" i="9"/>
  <c r="S12" i="9"/>
  <c r="T12" i="9"/>
  <c r="J13" i="9"/>
  <c r="K13" i="9"/>
  <c r="L13" i="9"/>
  <c r="M13" i="9"/>
  <c r="N13" i="9"/>
  <c r="O13" i="9"/>
  <c r="P13" i="9"/>
  <c r="Q13" i="9"/>
  <c r="R13" i="9"/>
  <c r="S13" i="9"/>
  <c r="T13" i="9"/>
  <c r="J14" i="9"/>
  <c r="K14" i="9"/>
  <c r="L14" i="9"/>
  <c r="M14" i="9"/>
  <c r="N14" i="9"/>
  <c r="O14" i="9"/>
  <c r="P14" i="9"/>
  <c r="Q14" i="9"/>
  <c r="R14" i="9"/>
  <c r="S14" i="9"/>
  <c r="T14" i="9"/>
  <c r="I11" i="9"/>
  <c r="D11" i="9" s="1" a="1"/>
  <c r="D11" i="9" s="1"/>
  <c r="E11" i="9" s="1"/>
  <c r="I12" i="9"/>
  <c r="D12" i="9" s="1" a="1"/>
  <c r="D12" i="9" s="1"/>
  <c r="E12" i="9" s="1"/>
  <c r="I13" i="9"/>
  <c r="D13" i="9" s="1" a="1"/>
  <c r="D13" i="9" s="1"/>
  <c r="E13" i="9" s="1"/>
  <c r="I14" i="9"/>
  <c r="D14" i="9" s="1" a="1"/>
  <c r="D14" i="9" s="1"/>
  <c r="E14" i="9" s="1"/>
  <c r="E11" i="10"/>
  <c r="D11" i="10" a="1"/>
  <c r="D11" i="10" s="1"/>
  <c r="D8" i="10" a="1"/>
  <c r="D8" i="10" s="1"/>
  <c r="E8" i="10" s="1"/>
  <c r="R11" i="10"/>
  <c r="J10" i="10"/>
  <c r="J9" i="10"/>
  <c r="I9" i="10"/>
  <c r="K9" i="10"/>
  <c r="D9" i="10" s="1" a="1"/>
  <c r="D9" i="10" s="1"/>
  <c r="E9" i="10" s="1"/>
  <c r="L9" i="10"/>
  <c r="M9" i="10"/>
  <c r="N9" i="10"/>
  <c r="O9" i="10"/>
  <c r="P9" i="10"/>
  <c r="Q9" i="10"/>
  <c r="R9" i="10"/>
  <c r="S9" i="10"/>
  <c r="T9" i="10"/>
  <c r="I10" i="10"/>
  <c r="D10" i="10" s="1" a="1"/>
  <c r="D10" i="10" s="1"/>
  <c r="E10" i="10" s="1"/>
  <c r="K10" i="10"/>
  <c r="L10" i="10"/>
  <c r="M10" i="10"/>
  <c r="N10" i="10"/>
  <c r="O10" i="10"/>
  <c r="P10" i="10"/>
  <c r="Q10" i="10"/>
  <c r="R10" i="10"/>
  <c r="S10" i="10"/>
  <c r="T10" i="10"/>
  <c r="I11" i="10"/>
  <c r="K11" i="10"/>
  <c r="L11" i="10"/>
  <c r="M11" i="10"/>
  <c r="N11" i="10"/>
  <c r="O11" i="10"/>
  <c r="P11" i="10"/>
  <c r="Q11" i="10"/>
  <c r="S11" i="10"/>
  <c r="T11" i="10"/>
  <c r="R8" i="10"/>
  <c r="S8" i="10"/>
  <c r="T8" i="10"/>
  <c r="J8" i="10"/>
  <c r="K8" i="10"/>
  <c r="L8" i="10"/>
  <c r="M8" i="10"/>
  <c r="N8" i="10"/>
  <c r="O8" i="10"/>
  <c r="P8" i="10"/>
  <c r="Q8" i="10"/>
  <c r="I8" i="10"/>
  <c r="D8" i="32" l="1" a="1"/>
  <c r="D8" i="32" s="1"/>
  <c r="E8" i="32" s="1"/>
  <c r="D9" i="24" a="1"/>
  <c r="D9" i="24" s="1"/>
  <c r="E9" i="24" s="1"/>
  <c r="D10" i="24" a="1"/>
  <c r="D10" i="24" s="1"/>
  <c r="E10" i="24" s="1"/>
  <c r="D11" i="24" a="1"/>
  <c r="D11" i="24" s="1"/>
  <c r="E11" i="24" s="1"/>
  <c r="E9" i="19"/>
  <c r="E9" i="23"/>
  <c r="D13" i="25" a="1"/>
  <c r="D13" i="25" s="1"/>
  <c r="E13" i="25" s="1"/>
  <c r="E10" i="25"/>
  <c r="D8" i="24" a="1"/>
  <c r="D8" i="24" s="1"/>
  <c r="E8" i="24" s="1"/>
  <c r="D9" i="4" a="1"/>
  <c r="D9" i="4" s="1"/>
  <c r="E9" i="4" s="1"/>
  <c r="E10" i="28"/>
  <c r="E10" i="30"/>
  <c r="E7" i="33"/>
  <c r="E10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<sst xmlns="http://schemas.openxmlformats.org/spreadsheetml/2006/main" count="921" uniqueCount="21">
  <si>
    <t>Iteration</t>
  </si>
  <si>
    <t>Marbles</t>
  </si>
  <si>
    <t>Range</t>
  </si>
  <si>
    <t>Cost</t>
  </si>
  <si>
    <t>Fleet_Size</t>
  </si>
  <si>
    <t>Steps</t>
  </si>
  <si>
    <t>PercentEffective</t>
  </si>
  <si>
    <t>iterTime</t>
  </si>
  <si>
    <t>Thick_Popsicle_Stick</t>
  </si>
  <si>
    <t>Thin_Popsicle_Stick</t>
  </si>
  <si>
    <t>Dowels</t>
  </si>
  <si>
    <t>Pipe_Cleaner</t>
  </si>
  <si>
    <t>Construction_Paper</t>
  </si>
  <si>
    <t>Small_Cardboard_Tubes</t>
  </si>
  <si>
    <t>Large_Cardboard_Tubes</t>
  </si>
  <si>
    <t>Small_Styrofoam_Spheres</t>
  </si>
  <si>
    <t>Large_Styrofoam_Spheres</t>
  </si>
  <si>
    <t>Fabric</t>
  </si>
  <si>
    <t>Wheels</t>
  </si>
  <si>
    <t>Blue_Batteries_Beads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</si>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</sst>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0" xfId="0" applyFill="1"/>
    <xf numFmtId="0" fontId="0" fillId="3" borderId="10" xfId="0" applyFill="1" applyBorder="1"/>
    <xf numFmtId="0" fontId="0" fillId="4" borderId="0" xfId="0" applyFill="1"/>
    <xf numFmtId="0" fontId="0" fillId="5" borderId="5" xfId="0" applyFill="1" applyBorder="1"/>
    <xf numFmtId="0" fontId="0" fillId="5" borderId="2" xfId="0" applyFill="1" applyBorder="1"/>
    <xf numFmtId="0" fontId="0" fillId="5" borderId="12" xfId="0" applyFill="1" applyBorder="1"/>
    <xf numFmtId="0" fontId="0" fillId="5" borderId="3" xfId="0" applyFill="1" applyBorder="1"/>
    <xf numFmtId="0" fontId="0" fillId="5" borderId="0" xfId="0" applyFill="1"/>
    <xf numFmtId="0" fontId="0" fillId="3" borderId="5" xfId="0" applyFill="1" applyBorder="1"/>
    <xf numFmtId="0" fontId="0" fillId="3" borderId="9" xfId="0" applyFill="1" applyBorder="1"/>
    <xf numFmtId="0" fontId="0" fillId="2" borderId="3" xfId="0" applyFill="1" applyBorder="1"/>
    <xf numFmtId="0" fontId="0" fillId="2" borderId="2" xfId="0" applyFill="1" applyBorder="1"/>
    <xf numFmtId="0" fontId="0" fillId="5" borderId="10" xfId="0" applyFill="1" applyBorder="1"/>
    <xf numFmtId="0" fontId="0" fillId="0" borderId="13" xfId="0" applyBorder="1"/>
    <xf numFmtId="0" fontId="0" fillId="2" borderId="0" xfId="0" applyFill="1"/>
    <xf numFmtId="0" fontId="0" fillId="5" borderId="7" xfId="0" applyFill="1" applyBorder="1"/>
    <xf numFmtId="0" fontId="0" fillId="5" borderId="9" xfId="0" applyFill="1" applyBorder="1"/>
    <xf numFmtId="0" fontId="0" fillId="4" borderId="2" xfId="0" applyFill="1" applyBorder="1"/>
    <xf numFmtId="0" fontId="0" fillId="4" borderId="3" xfId="0" applyFill="1" applyBorder="1"/>
    <xf numFmtId="0" fontId="0" fillId="5" borderId="4" xfId="0" applyFill="1" applyBorder="1"/>
    <xf numFmtId="0" fontId="1" fillId="0" borderId="0" xfId="1"/>
    <xf numFmtId="0" fontId="0" fillId="3" borderId="4" xfId="0" applyFill="1" applyBorder="1"/>
    <xf numFmtId="0" fontId="0" fillId="3" borderId="7" xfId="0" applyFill="1" applyBorder="1"/>
    <xf numFmtId="0" fontId="2" fillId="0" borderId="0" xfId="2"/>
  </cellXfs>
  <cellStyles count="3">
    <cellStyle name="Normal" xfId="0" builtinId="0"/>
    <cellStyle name="Normal 2" xfId="1" xr:uid="{8FEAB228-BBB6-4917-8034-01FB1DDCC1BF}"/>
    <cellStyle name="Normal 3" xfId="2" xr:uid="{F59B92FA-6F13-4A0B-91A7-DC62F5CD06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07EC-56C9-4675-9C13-37D17CE73A1D}">
  <dimension ref="A1:T15"/>
  <sheetViews>
    <sheetView workbookViewId="0">
      <selection activeCell="F20" sqref="F20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10</v>
      </c>
      <c r="C2">
        <v>300</v>
      </c>
      <c r="D2">
        <v>650</v>
      </c>
      <c r="E2">
        <v>15</v>
      </c>
      <c r="F2">
        <v>804</v>
      </c>
      <c r="G2">
        <v>75.680000000000007</v>
      </c>
      <c r="H2">
        <v>2705.9841000000001</v>
      </c>
      <c r="I2">
        <v>10</v>
      </c>
      <c r="J2">
        <v>0</v>
      </c>
      <c r="K2">
        <v>6</v>
      </c>
      <c r="L2">
        <v>6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4</v>
      </c>
      <c r="T2">
        <v>15</v>
      </c>
    </row>
    <row r="3" spans="1:20" x14ac:dyDescent="0.3">
      <c r="A3">
        <v>2</v>
      </c>
      <c r="B3">
        <v>14</v>
      </c>
      <c r="C3">
        <v>210</v>
      </c>
      <c r="D3">
        <v>620</v>
      </c>
      <c r="E3">
        <v>16</v>
      </c>
      <c r="F3">
        <v>823</v>
      </c>
      <c r="G3">
        <v>74.16</v>
      </c>
      <c r="H3">
        <v>2194.779278</v>
      </c>
      <c r="I3">
        <v>10</v>
      </c>
      <c r="J3">
        <v>8</v>
      </c>
      <c r="K3">
        <v>4</v>
      </c>
      <c r="L3">
        <v>6</v>
      </c>
      <c r="M3">
        <v>0</v>
      </c>
      <c r="N3">
        <v>0</v>
      </c>
      <c r="O3">
        <v>0</v>
      </c>
      <c r="P3">
        <v>0</v>
      </c>
      <c r="Q3">
        <v>0</v>
      </c>
      <c r="R3">
        <v>14</v>
      </c>
      <c r="S3">
        <v>4</v>
      </c>
      <c r="T3">
        <v>15</v>
      </c>
    </row>
    <row r="4" spans="1:20" x14ac:dyDescent="0.3">
      <c r="A4">
        <v>3</v>
      </c>
      <c r="B4">
        <v>14</v>
      </c>
      <c r="C4">
        <v>250</v>
      </c>
      <c r="D4">
        <v>607.5</v>
      </c>
      <c r="E4">
        <v>16</v>
      </c>
      <c r="F4">
        <v>723</v>
      </c>
      <c r="G4">
        <v>82.16</v>
      </c>
      <c r="H4">
        <v>1616.9297329999999</v>
      </c>
      <c r="I4">
        <v>3</v>
      </c>
      <c r="J4">
        <v>0</v>
      </c>
      <c r="K4">
        <v>3</v>
      </c>
      <c r="L4">
        <v>5.5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4</v>
      </c>
      <c r="T4">
        <v>18</v>
      </c>
    </row>
    <row r="5" spans="1:20" x14ac:dyDescent="0.3">
      <c r="A5">
        <v>4</v>
      </c>
      <c r="B5">
        <v>7</v>
      </c>
      <c r="C5">
        <v>250</v>
      </c>
      <c r="D5">
        <v>362.5</v>
      </c>
      <c r="E5">
        <v>27</v>
      </c>
      <c r="F5">
        <v>575</v>
      </c>
      <c r="G5">
        <v>94</v>
      </c>
      <c r="H5">
        <v>1405.8324789999999</v>
      </c>
      <c r="I5">
        <v>0</v>
      </c>
      <c r="J5">
        <v>3</v>
      </c>
      <c r="K5">
        <v>3</v>
      </c>
      <c r="L5">
        <v>3.5</v>
      </c>
      <c r="M5">
        <v>0</v>
      </c>
      <c r="N5">
        <v>2</v>
      </c>
      <c r="O5">
        <v>0</v>
      </c>
      <c r="P5">
        <v>0</v>
      </c>
      <c r="Q5">
        <v>0</v>
      </c>
      <c r="R5">
        <v>0</v>
      </c>
      <c r="S5">
        <v>4</v>
      </c>
      <c r="T5">
        <v>9</v>
      </c>
    </row>
    <row r="6" spans="1:20" x14ac:dyDescent="0.3">
      <c r="A6">
        <v>5</v>
      </c>
      <c r="B6">
        <v>4</v>
      </c>
      <c r="C6">
        <v>250</v>
      </c>
      <c r="D6">
        <v>237.5</v>
      </c>
      <c r="E6">
        <v>40</v>
      </c>
      <c r="F6">
        <v>587</v>
      </c>
      <c r="G6">
        <v>93.04</v>
      </c>
      <c r="H6">
        <v>1015.111778</v>
      </c>
      <c r="I6">
        <v>0</v>
      </c>
      <c r="J6">
        <v>3</v>
      </c>
      <c r="K6">
        <v>3</v>
      </c>
      <c r="L6">
        <v>2.5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4</v>
      </c>
      <c r="T6">
        <v>5</v>
      </c>
    </row>
    <row r="7" spans="1:20" ht="15" thickBot="1" x14ac:dyDescent="0.35"/>
    <row r="8" spans="1:20" ht="15" thickBot="1" x14ac:dyDescent="0.35">
      <c r="A8" t="s">
        <v>0</v>
      </c>
      <c r="B8" s="1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</row>
    <row r="9" spans="1:20" x14ac:dyDescent="0.3">
      <c r="A9">
        <v>1</v>
      </c>
      <c r="B9" s="23">
        <v>20</v>
      </c>
      <c r="D9" s="14" cm="1">
        <f t="array" ref="D9">SUM(I9:T9*I$15:T$15)</f>
        <v>650</v>
      </c>
      <c r="E9" s="14">
        <f>MIN(FLOOR(10000/D9,1),40)</f>
        <v>15</v>
      </c>
      <c r="I9" s="4">
        <f>I2</f>
        <v>10</v>
      </c>
      <c r="J9" s="5">
        <f t="shared" ref="J9:T9" si="0">J2</f>
        <v>0</v>
      </c>
      <c r="K9" s="5">
        <f t="shared" si="0"/>
        <v>6</v>
      </c>
      <c r="L9" s="5">
        <f t="shared" si="0"/>
        <v>6</v>
      </c>
      <c r="M9" s="5">
        <f t="shared" si="0"/>
        <v>0</v>
      </c>
      <c r="N9" s="5">
        <f t="shared" si="0"/>
        <v>0</v>
      </c>
      <c r="O9" s="5">
        <f t="shared" si="0"/>
        <v>2</v>
      </c>
      <c r="P9" s="5">
        <f t="shared" si="0"/>
        <v>0</v>
      </c>
      <c r="Q9" s="5">
        <f t="shared" si="0"/>
        <v>0</v>
      </c>
      <c r="R9" s="5">
        <f t="shared" si="0"/>
        <v>0</v>
      </c>
      <c r="S9" s="5">
        <f t="shared" si="0"/>
        <v>4</v>
      </c>
      <c r="T9" s="6">
        <f t="shared" si="0"/>
        <v>15</v>
      </c>
    </row>
    <row r="10" spans="1:20" x14ac:dyDescent="0.3">
      <c r="A10">
        <v>2</v>
      </c>
      <c r="B10" s="23">
        <v>25</v>
      </c>
      <c r="D10" s="19" cm="1">
        <f t="array" ref="D10">SUM(I10:T10*I$15:T$15)</f>
        <v>605</v>
      </c>
      <c r="E10" s="14">
        <f t="shared" ref="E10:E13" si="1">MIN(FLOOR(10000/D10,1),40)</f>
        <v>16</v>
      </c>
      <c r="I10" s="27">
        <v>9</v>
      </c>
      <c r="J10">
        <f t="shared" ref="I10:T13" si="2">J3</f>
        <v>8</v>
      </c>
      <c r="K10" s="19">
        <v>3.5</v>
      </c>
      <c r="L10">
        <f t="shared" si="2"/>
        <v>6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0</v>
      </c>
      <c r="R10">
        <f t="shared" si="2"/>
        <v>14</v>
      </c>
      <c r="S10">
        <f t="shared" si="2"/>
        <v>4</v>
      </c>
      <c r="T10" s="8">
        <f t="shared" si="2"/>
        <v>15</v>
      </c>
    </row>
    <row r="11" spans="1:20" x14ac:dyDescent="0.3">
      <c r="A11">
        <v>3</v>
      </c>
      <c r="B11" s="23">
        <v>15</v>
      </c>
      <c r="D11" s="14" cm="1">
        <f t="array" ref="D11">SUM(I11:T11*I$15:T$15)</f>
        <v>607.5</v>
      </c>
      <c r="E11" s="14">
        <f t="shared" si="1"/>
        <v>16</v>
      </c>
      <c r="I11" s="7">
        <f t="shared" si="2"/>
        <v>3</v>
      </c>
      <c r="J11">
        <f t="shared" si="2"/>
        <v>0</v>
      </c>
      <c r="K11">
        <f t="shared" si="2"/>
        <v>3</v>
      </c>
      <c r="L11">
        <f t="shared" si="2"/>
        <v>5.5</v>
      </c>
      <c r="M11">
        <f t="shared" si="2"/>
        <v>0</v>
      </c>
      <c r="N11">
        <f t="shared" si="2"/>
        <v>3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4</v>
      </c>
      <c r="T11" s="8">
        <f t="shared" si="2"/>
        <v>18</v>
      </c>
    </row>
    <row r="12" spans="1:20" x14ac:dyDescent="0.3">
      <c r="A12">
        <v>4</v>
      </c>
      <c r="B12" s="23">
        <v>9</v>
      </c>
      <c r="D12" s="19" cm="1">
        <f t="array" ref="D12">SUM(I12:T12*I$15:T$15)</f>
        <v>352.5</v>
      </c>
      <c r="E12" s="26">
        <f t="shared" si="1"/>
        <v>28</v>
      </c>
      <c r="I12" s="7">
        <f t="shared" si="2"/>
        <v>0</v>
      </c>
      <c r="J12">
        <f t="shared" si="2"/>
        <v>3</v>
      </c>
      <c r="K12">
        <f t="shared" si="2"/>
        <v>3</v>
      </c>
      <c r="L12">
        <f t="shared" si="2"/>
        <v>3.5</v>
      </c>
      <c r="M12">
        <f t="shared" si="2"/>
        <v>0</v>
      </c>
      <c r="N12" s="19">
        <v>1.75</v>
      </c>
      <c r="O12">
        <f t="shared" si="2"/>
        <v>0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4</v>
      </c>
      <c r="T12" s="8">
        <f t="shared" si="2"/>
        <v>9</v>
      </c>
    </row>
    <row r="13" spans="1:20" ht="15" thickBot="1" x14ac:dyDescent="0.35">
      <c r="A13">
        <v>5</v>
      </c>
      <c r="B13" s="22">
        <v>6</v>
      </c>
      <c r="D13" s="14" cm="1">
        <f t="array" ref="D13">SUM(I13:T13*I$15:T$15)</f>
        <v>237.5</v>
      </c>
      <c r="E13" s="14">
        <f t="shared" si="1"/>
        <v>40</v>
      </c>
      <c r="I13" s="9">
        <f t="shared" si="2"/>
        <v>0</v>
      </c>
      <c r="J13" s="10">
        <f t="shared" si="2"/>
        <v>3</v>
      </c>
      <c r="K13" s="10">
        <f t="shared" si="2"/>
        <v>3</v>
      </c>
      <c r="L13" s="10">
        <f t="shared" si="2"/>
        <v>2.5</v>
      </c>
      <c r="M13" s="10">
        <f t="shared" si="2"/>
        <v>0</v>
      </c>
      <c r="N13" s="10">
        <f t="shared" si="2"/>
        <v>1</v>
      </c>
      <c r="O13" s="10">
        <f t="shared" si="2"/>
        <v>0</v>
      </c>
      <c r="P13" s="10">
        <f t="shared" si="2"/>
        <v>0</v>
      </c>
      <c r="Q13" s="10">
        <f t="shared" si="2"/>
        <v>0</v>
      </c>
      <c r="R13" s="10">
        <f t="shared" si="2"/>
        <v>0</v>
      </c>
      <c r="S13" s="10">
        <f t="shared" si="2"/>
        <v>4</v>
      </c>
      <c r="T13" s="11">
        <f t="shared" si="2"/>
        <v>5</v>
      </c>
    </row>
    <row r="15" spans="1:20" x14ac:dyDescent="0.3">
      <c r="I15">
        <v>10</v>
      </c>
      <c r="J15">
        <v>5</v>
      </c>
      <c r="K15">
        <v>10</v>
      </c>
      <c r="L15">
        <v>5</v>
      </c>
      <c r="M15">
        <v>10</v>
      </c>
      <c r="N15">
        <v>40</v>
      </c>
      <c r="O15">
        <v>60</v>
      </c>
      <c r="P15">
        <v>20</v>
      </c>
      <c r="Q15">
        <v>50</v>
      </c>
      <c r="R15">
        <v>5</v>
      </c>
      <c r="S15">
        <v>10</v>
      </c>
      <c r="T1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61F2-D188-4D26-B6DC-8769D59A2B4A}">
  <dimension ref="A1:T15"/>
  <sheetViews>
    <sheetView zoomScale="85" workbookViewId="0">
      <selection activeCell="F16" sqref="F16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5</v>
      </c>
      <c r="C2">
        <v>200</v>
      </c>
      <c r="D2">
        <v>260</v>
      </c>
      <c r="E2">
        <v>38</v>
      </c>
      <c r="F2">
        <v>620</v>
      </c>
      <c r="G2">
        <v>90.4</v>
      </c>
      <c r="H2">
        <v>1919.3926289999999</v>
      </c>
      <c r="I2">
        <v>0</v>
      </c>
      <c r="J2">
        <v>0</v>
      </c>
      <c r="K2">
        <v>0</v>
      </c>
      <c r="L2">
        <v>0</v>
      </c>
      <c r="M2">
        <v>0</v>
      </c>
      <c r="N2">
        <v>1.5</v>
      </c>
      <c r="O2">
        <v>0</v>
      </c>
      <c r="P2">
        <v>2</v>
      </c>
      <c r="Q2">
        <v>0</v>
      </c>
      <c r="R2">
        <v>6</v>
      </c>
      <c r="S2">
        <v>3</v>
      </c>
      <c r="T2">
        <v>5</v>
      </c>
    </row>
    <row r="3" spans="1:20" x14ac:dyDescent="0.3">
      <c r="A3">
        <v>2</v>
      </c>
      <c r="B3">
        <v>10</v>
      </c>
      <c r="C3">
        <v>200</v>
      </c>
      <c r="D3">
        <v>337.5</v>
      </c>
      <c r="E3">
        <v>29</v>
      </c>
      <c r="F3">
        <v>641</v>
      </c>
      <c r="G3">
        <v>88.72</v>
      </c>
      <c r="H3">
        <v>1464.573359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1.5</v>
      </c>
      <c r="Q3">
        <v>0</v>
      </c>
      <c r="R3">
        <v>3.5</v>
      </c>
      <c r="S3">
        <v>3</v>
      </c>
      <c r="T3">
        <v>10</v>
      </c>
    </row>
    <row r="4" spans="1:20" x14ac:dyDescent="0.3">
      <c r="A4">
        <v>3</v>
      </c>
      <c r="B4">
        <v>5</v>
      </c>
      <c r="C4">
        <v>320</v>
      </c>
      <c r="D4">
        <v>283.75</v>
      </c>
      <c r="E4">
        <v>35</v>
      </c>
      <c r="F4">
        <v>551</v>
      </c>
      <c r="G4">
        <v>95.92</v>
      </c>
      <c r="H4">
        <v>1832.7099920000001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2</v>
      </c>
      <c r="Q4">
        <v>0</v>
      </c>
      <c r="R4">
        <v>2.75</v>
      </c>
      <c r="S4">
        <v>3</v>
      </c>
      <c r="T4">
        <v>8</v>
      </c>
    </row>
    <row r="5" spans="1:20" x14ac:dyDescent="0.3">
      <c r="A5">
        <v>4</v>
      </c>
      <c r="B5">
        <v>6</v>
      </c>
      <c r="C5">
        <v>200</v>
      </c>
      <c r="D5">
        <v>261.25</v>
      </c>
      <c r="E5">
        <v>38</v>
      </c>
      <c r="F5">
        <v>620</v>
      </c>
      <c r="G5">
        <v>90.4</v>
      </c>
      <c r="H5">
        <v>1906.657033</v>
      </c>
      <c r="I5">
        <v>0</v>
      </c>
      <c r="J5">
        <v>0</v>
      </c>
      <c r="K5">
        <v>0</v>
      </c>
      <c r="L5">
        <v>2.25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3</v>
      </c>
      <c r="T5">
        <v>6</v>
      </c>
    </row>
    <row r="6" spans="1:20" x14ac:dyDescent="0.3">
      <c r="A6">
        <v>5</v>
      </c>
      <c r="B6">
        <v>10</v>
      </c>
      <c r="C6">
        <v>300</v>
      </c>
      <c r="D6">
        <v>420</v>
      </c>
      <c r="E6">
        <v>23</v>
      </c>
      <c r="F6">
        <v>635</v>
      </c>
      <c r="G6">
        <v>89.2</v>
      </c>
      <c r="H6">
        <v>1153.470065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6</v>
      </c>
      <c r="S6">
        <v>3</v>
      </c>
      <c r="T6">
        <v>15</v>
      </c>
    </row>
    <row r="7" spans="1:20" ht="15" thickBot="1" x14ac:dyDescent="0.35"/>
    <row r="8" spans="1:20" ht="15" thickBot="1" x14ac:dyDescent="0.35">
      <c r="A8" t="s">
        <v>0</v>
      </c>
      <c r="B8" s="1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s="4" t="s">
        <v>8</v>
      </c>
      <c r="J8" s="5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6" t="s">
        <v>19</v>
      </c>
    </row>
    <row r="9" spans="1:20" x14ac:dyDescent="0.3">
      <c r="A9">
        <v>1</v>
      </c>
      <c r="B9" s="23">
        <v>16</v>
      </c>
      <c r="D9" s="14" cm="1">
        <f t="array" ref="D9">SUM(I9:T9*I$15:T$15)</f>
        <v>260</v>
      </c>
      <c r="E9" s="14">
        <f>MIN(FLOOR(10000/D9,1),40)</f>
        <v>38</v>
      </c>
      <c r="I9" s="4">
        <f t="shared" ref="I9:T9" si="0">I2</f>
        <v>0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5">
        <f t="shared" si="0"/>
        <v>1.5</v>
      </c>
      <c r="O9" s="5">
        <f t="shared" si="0"/>
        <v>0</v>
      </c>
      <c r="P9" s="5">
        <f t="shared" si="0"/>
        <v>2</v>
      </c>
      <c r="Q9" s="5">
        <f t="shared" si="0"/>
        <v>0</v>
      </c>
      <c r="R9" s="5">
        <f t="shared" si="0"/>
        <v>6</v>
      </c>
      <c r="S9" s="5">
        <f t="shared" si="0"/>
        <v>3</v>
      </c>
      <c r="T9" s="6">
        <f t="shared" si="0"/>
        <v>5</v>
      </c>
    </row>
    <row r="10" spans="1:20" x14ac:dyDescent="0.3">
      <c r="A10">
        <v>2</v>
      </c>
      <c r="B10" s="23">
        <v>11</v>
      </c>
      <c r="D10" s="19" cm="1">
        <f t="array" ref="D10">SUM(I10:T10*I$15:T$15)</f>
        <v>335</v>
      </c>
      <c r="E10" s="14">
        <f t="shared" ref="E10:E13" si="1">MIN(FLOOR(10000/D10,1),40)</f>
        <v>29</v>
      </c>
      <c r="I10" s="7">
        <f t="shared" ref="I10:T10" si="2">I3</f>
        <v>0</v>
      </c>
      <c r="J10">
        <f t="shared" si="2"/>
        <v>0</v>
      </c>
      <c r="K10">
        <f t="shared" si="2"/>
        <v>0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1</v>
      </c>
      <c r="P10">
        <f t="shared" si="2"/>
        <v>1.5</v>
      </c>
      <c r="Q10">
        <f t="shared" si="2"/>
        <v>0</v>
      </c>
      <c r="R10" s="19">
        <v>3</v>
      </c>
      <c r="S10">
        <f t="shared" si="2"/>
        <v>3</v>
      </c>
      <c r="T10" s="8">
        <f t="shared" si="2"/>
        <v>10</v>
      </c>
    </row>
    <row r="11" spans="1:20" x14ac:dyDescent="0.3">
      <c r="A11">
        <v>3</v>
      </c>
      <c r="B11" s="23">
        <v>8</v>
      </c>
      <c r="D11" s="19" cm="1">
        <f t="array" ref="D11">SUM(I11:T11*I$15:T$15)</f>
        <v>273.75</v>
      </c>
      <c r="E11" s="26">
        <f t="shared" si="1"/>
        <v>36</v>
      </c>
      <c r="I11" s="7">
        <f t="shared" ref="I11:T11" si="3">I4</f>
        <v>0</v>
      </c>
      <c r="J11">
        <f t="shared" si="3"/>
        <v>0</v>
      </c>
      <c r="K11">
        <f t="shared" si="3"/>
        <v>0</v>
      </c>
      <c r="L11">
        <f t="shared" si="3"/>
        <v>0</v>
      </c>
      <c r="M11">
        <f t="shared" si="3"/>
        <v>0</v>
      </c>
      <c r="N11">
        <f t="shared" si="3"/>
        <v>1</v>
      </c>
      <c r="O11">
        <f t="shared" si="3"/>
        <v>0</v>
      </c>
      <c r="P11" s="19">
        <v>1.5</v>
      </c>
      <c r="Q11">
        <f t="shared" si="3"/>
        <v>0</v>
      </c>
      <c r="R11">
        <f t="shared" si="3"/>
        <v>2.75</v>
      </c>
      <c r="S11">
        <f t="shared" si="3"/>
        <v>3</v>
      </c>
      <c r="T11" s="8">
        <f t="shared" si="3"/>
        <v>8</v>
      </c>
    </row>
    <row r="12" spans="1:20" x14ac:dyDescent="0.3">
      <c r="A12">
        <v>4</v>
      </c>
      <c r="B12" s="29">
        <v>6</v>
      </c>
      <c r="D12" s="19" cm="1">
        <f t="array" ref="D12">SUM(I12:T12*I$15:T$15)</f>
        <v>211.25</v>
      </c>
      <c r="E12" s="26">
        <f t="shared" si="1"/>
        <v>40</v>
      </c>
      <c r="I12" s="7">
        <f t="shared" ref="I12:T12" si="4">I5</f>
        <v>0</v>
      </c>
      <c r="J12">
        <f t="shared" si="4"/>
        <v>0</v>
      </c>
      <c r="K12">
        <f t="shared" si="4"/>
        <v>0</v>
      </c>
      <c r="L12">
        <f t="shared" si="4"/>
        <v>2.25</v>
      </c>
      <c r="M12">
        <f t="shared" si="4"/>
        <v>0</v>
      </c>
      <c r="N12">
        <f t="shared" si="4"/>
        <v>0</v>
      </c>
      <c r="O12">
        <f t="shared" si="4"/>
        <v>0</v>
      </c>
      <c r="P12">
        <f t="shared" si="4"/>
        <v>0</v>
      </c>
      <c r="Q12" s="19">
        <v>1</v>
      </c>
      <c r="R12">
        <f t="shared" si="4"/>
        <v>0</v>
      </c>
      <c r="S12">
        <f t="shared" si="4"/>
        <v>3</v>
      </c>
      <c r="T12" s="8">
        <f t="shared" si="4"/>
        <v>6</v>
      </c>
    </row>
    <row r="13" spans="1:20" ht="15" thickBot="1" x14ac:dyDescent="0.35">
      <c r="A13">
        <v>5</v>
      </c>
      <c r="B13" s="22">
        <v>12</v>
      </c>
      <c r="D13" s="12" cm="1">
        <f t="array" ref="D13">SUM(I13:T13*I$15:T$15)</f>
        <v>425</v>
      </c>
      <c r="E13" s="14">
        <f t="shared" si="1"/>
        <v>23</v>
      </c>
      <c r="I13" s="9">
        <f t="shared" ref="I13:T13" si="5">I6</f>
        <v>0</v>
      </c>
      <c r="J13" s="10">
        <f t="shared" si="5"/>
        <v>0</v>
      </c>
      <c r="K13" s="10">
        <f t="shared" si="5"/>
        <v>0</v>
      </c>
      <c r="L13" s="10">
        <f t="shared" si="5"/>
        <v>0</v>
      </c>
      <c r="M13" s="10">
        <f t="shared" si="5"/>
        <v>0</v>
      </c>
      <c r="N13" s="13">
        <v>1</v>
      </c>
      <c r="O13" s="10">
        <f t="shared" si="5"/>
        <v>0</v>
      </c>
      <c r="P13" s="24">
        <v>1.5</v>
      </c>
      <c r="Q13" s="10">
        <f t="shared" si="5"/>
        <v>0</v>
      </c>
      <c r="R13" s="24">
        <v>5</v>
      </c>
      <c r="S13" s="10">
        <f t="shared" si="5"/>
        <v>3</v>
      </c>
      <c r="T13" s="11">
        <f t="shared" si="5"/>
        <v>15</v>
      </c>
    </row>
    <row r="15" spans="1:20" x14ac:dyDescent="0.3">
      <c r="I15">
        <v>10</v>
      </c>
      <c r="J15">
        <v>5</v>
      </c>
      <c r="K15">
        <v>10</v>
      </c>
      <c r="L15">
        <v>5</v>
      </c>
      <c r="M15">
        <v>10</v>
      </c>
      <c r="N15">
        <v>40</v>
      </c>
      <c r="O15">
        <v>60</v>
      </c>
      <c r="P15">
        <v>20</v>
      </c>
      <c r="Q15">
        <v>50</v>
      </c>
      <c r="R15">
        <v>5</v>
      </c>
      <c r="S15">
        <v>10</v>
      </c>
      <c r="T15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7252-1899-4B1F-B6ED-11E59F5F6521}">
  <dimension ref="A1:T17"/>
  <sheetViews>
    <sheetView workbookViewId="0">
      <selection activeCell="G18" sqref="G18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12</v>
      </c>
      <c r="C2">
        <v>200</v>
      </c>
      <c r="D2">
        <v>642.5</v>
      </c>
      <c r="E2">
        <v>15</v>
      </c>
      <c r="F2">
        <v>948</v>
      </c>
      <c r="G2">
        <v>64.16</v>
      </c>
      <c r="H2">
        <v>152.79318499999999</v>
      </c>
      <c r="I2">
        <v>0</v>
      </c>
      <c r="J2">
        <v>11</v>
      </c>
      <c r="K2">
        <v>7</v>
      </c>
      <c r="L2">
        <v>7</v>
      </c>
      <c r="M2">
        <v>20.25</v>
      </c>
      <c r="N2">
        <v>0</v>
      </c>
      <c r="O2">
        <v>0</v>
      </c>
      <c r="P2">
        <v>0</v>
      </c>
      <c r="Q2">
        <v>0</v>
      </c>
      <c r="R2">
        <v>0</v>
      </c>
      <c r="S2">
        <v>4</v>
      </c>
      <c r="T2">
        <v>12</v>
      </c>
    </row>
    <row r="3" spans="1:20" x14ac:dyDescent="0.3">
      <c r="A3">
        <v>2</v>
      </c>
      <c r="B3">
        <v>12</v>
      </c>
      <c r="C3">
        <v>200</v>
      </c>
      <c r="D3">
        <v>810</v>
      </c>
      <c r="E3">
        <v>12</v>
      </c>
      <c r="F3">
        <v>1131</v>
      </c>
      <c r="G3">
        <v>49.519999999999996</v>
      </c>
      <c r="H3">
        <v>120.98095000000001</v>
      </c>
      <c r="I3">
        <v>0</v>
      </c>
      <c r="J3">
        <v>20.5</v>
      </c>
      <c r="K3">
        <v>5</v>
      </c>
      <c r="L3">
        <v>3.5</v>
      </c>
      <c r="M3">
        <v>0</v>
      </c>
      <c r="N3">
        <v>0</v>
      </c>
      <c r="O3">
        <v>6</v>
      </c>
      <c r="P3">
        <v>0</v>
      </c>
      <c r="Q3">
        <v>0</v>
      </c>
      <c r="R3">
        <v>0</v>
      </c>
      <c r="S3">
        <v>4</v>
      </c>
      <c r="T3">
        <v>12</v>
      </c>
    </row>
    <row r="4" spans="1:20" x14ac:dyDescent="0.3">
      <c r="A4">
        <v>3</v>
      </c>
      <c r="B4">
        <v>12</v>
      </c>
      <c r="C4">
        <v>200</v>
      </c>
      <c r="D4">
        <v>540</v>
      </c>
      <c r="E4">
        <v>18</v>
      </c>
      <c r="F4">
        <v>784</v>
      </c>
      <c r="G4">
        <v>77.279999999999987</v>
      </c>
      <c r="H4">
        <v>114.84505299999999</v>
      </c>
      <c r="I4">
        <v>0</v>
      </c>
      <c r="J4">
        <v>0</v>
      </c>
      <c r="K4">
        <v>4</v>
      </c>
      <c r="L4">
        <v>0</v>
      </c>
      <c r="M4">
        <v>0</v>
      </c>
      <c r="N4">
        <v>0</v>
      </c>
      <c r="O4">
        <v>3</v>
      </c>
      <c r="P4">
        <v>2</v>
      </c>
      <c r="Q4">
        <v>0</v>
      </c>
      <c r="R4">
        <v>0</v>
      </c>
      <c r="S4">
        <v>4</v>
      </c>
      <c r="T4">
        <v>12</v>
      </c>
    </row>
    <row r="5" spans="1:20" x14ac:dyDescent="0.3">
      <c r="A5">
        <v>4</v>
      </c>
      <c r="B5">
        <v>10</v>
      </c>
      <c r="C5">
        <v>200</v>
      </c>
      <c r="D5">
        <v>291.25</v>
      </c>
      <c r="E5">
        <v>34</v>
      </c>
      <c r="F5">
        <v>629</v>
      </c>
      <c r="G5">
        <v>89.68</v>
      </c>
      <c r="H5">
        <v>193.41346899999999</v>
      </c>
      <c r="I5">
        <v>0</v>
      </c>
      <c r="J5">
        <v>0</v>
      </c>
      <c r="K5">
        <v>2.5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3.25</v>
      </c>
      <c r="S5">
        <v>3</v>
      </c>
      <c r="T5">
        <v>10</v>
      </c>
    </row>
    <row r="6" spans="1:20" x14ac:dyDescent="0.3">
      <c r="A6">
        <v>5</v>
      </c>
      <c r="B6">
        <v>14</v>
      </c>
      <c r="C6">
        <v>200</v>
      </c>
      <c r="D6">
        <v>480</v>
      </c>
      <c r="E6">
        <v>20</v>
      </c>
      <c r="F6">
        <v>768</v>
      </c>
      <c r="G6">
        <v>78.56</v>
      </c>
      <c r="H6">
        <v>108.119618</v>
      </c>
      <c r="I6">
        <v>9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</v>
      </c>
      <c r="S6">
        <v>4</v>
      </c>
      <c r="T6">
        <v>14</v>
      </c>
    </row>
    <row r="7" spans="1:20" x14ac:dyDescent="0.3">
      <c r="A7">
        <v>6</v>
      </c>
      <c r="B7">
        <v>10</v>
      </c>
      <c r="C7">
        <v>240</v>
      </c>
      <c r="D7">
        <v>475</v>
      </c>
      <c r="E7">
        <v>21</v>
      </c>
      <c r="F7">
        <v>694</v>
      </c>
      <c r="G7">
        <v>84.48</v>
      </c>
      <c r="H7">
        <v>134.23992899999999</v>
      </c>
      <c r="I7">
        <v>0</v>
      </c>
      <c r="J7">
        <v>0</v>
      </c>
      <c r="K7">
        <v>4</v>
      </c>
      <c r="L7">
        <v>0</v>
      </c>
      <c r="M7">
        <v>1.5</v>
      </c>
      <c r="N7">
        <v>1</v>
      </c>
      <c r="O7">
        <v>0</v>
      </c>
      <c r="P7">
        <v>0</v>
      </c>
      <c r="Q7">
        <v>2</v>
      </c>
      <c r="R7">
        <v>0</v>
      </c>
      <c r="S7">
        <v>4</v>
      </c>
      <c r="T7">
        <v>12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23">
        <v>30</v>
      </c>
      <c r="D10" s="12" cm="1">
        <f t="array" ref="D10">SUM(I10:T10*I$17:T$17)</f>
        <v>657.5</v>
      </c>
      <c r="E10" s="14">
        <f>MIN(FLOOR(10000/D10,1),40)</f>
        <v>15</v>
      </c>
      <c r="I10" s="4">
        <f>I2</f>
        <v>0</v>
      </c>
      <c r="J10" s="5">
        <f t="shared" ref="J10:T10" si="0">J2</f>
        <v>11</v>
      </c>
      <c r="K10" s="20">
        <v>8</v>
      </c>
      <c r="L10" s="5">
        <f t="shared" si="0"/>
        <v>7</v>
      </c>
      <c r="M10" s="20">
        <f>12+3.5*2.5</f>
        <v>20.75</v>
      </c>
      <c r="N10" s="5">
        <f t="shared" si="0"/>
        <v>0</v>
      </c>
      <c r="O10" s="5">
        <f t="shared" si="0"/>
        <v>0</v>
      </c>
      <c r="P10" s="5">
        <f t="shared" si="0"/>
        <v>0</v>
      </c>
      <c r="Q10" s="5">
        <f t="shared" si="0"/>
        <v>0</v>
      </c>
      <c r="R10" s="5">
        <f t="shared" si="0"/>
        <v>0</v>
      </c>
      <c r="S10" s="5">
        <f t="shared" si="0"/>
        <v>4</v>
      </c>
      <c r="T10" s="6">
        <f t="shared" si="0"/>
        <v>12</v>
      </c>
    </row>
    <row r="11" spans="1:20" x14ac:dyDescent="0.3">
      <c r="A11">
        <v>2</v>
      </c>
      <c r="B11" s="23">
        <v>24</v>
      </c>
      <c r="D11" s="19" cm="1">
        <f t="array" ref="D11">SUM(I11:T11*I$17:T$17)</f>
        <v>785</v>
      </c>
      <c r="E11" s="14">
        <f t="shared" ref="E11:E15" si="1">MIN(FLOOR(10000/D11,1),40)</f>
        <v>12</v>
      </c>
      <c r="I11" s="7">
        <f t="shared" ref="I11:T15" si="2">I3</f>
        <v>0</v>
      </c>
      <c r="J11" s="19">
        <v>15.5</v>
      </c>
      <c r="K11">
        <f t="shared" si="2"/>
        <v>5</v>
      </c>
      <c r="L11">
        <f t="shared" si="2"/>
        <v>3.5</v>
      </c>
      <c r="M11">
        <f t="shared" si="2"/>
        <v>0</v>
      </c>
      <c r="N11">
        <f t="shared" si="2"/>
        <v>0</v>
      </c>
      <c r="O11">
        <f t="shared" si="2"/>
        <v>6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4</v>
      </c>
      <c r="T11" s="8">
        <f t="shared" si="2"/>
        <v>12</v>
      </c>
    </row>
    <row r="12" spans="1:20" x14ac:dyDescent="0.3">
      <c r="A12">
        <v>3</v>
      </c>
      <c r="B12" s="23">
        <v>14</v>
      </c>
      <c r="D12" s="19" cm="1">
        <f t="array" ref="D12">SUM(I12:T12*I$17:T$17)</f>
        <v>500</v>
      </c>
      <c r="E12" s="26">
        <f t="shared" si="1"/>
        <v>20</v>
      </c>
      <c r="I12" s="7">
        <f t="shared" si="2"/>
        <v>0</v>
      </c>
      <c r="J12">
        <f t="shared" si="2"/>
        <v>0</v>
      </c>
      <c r="K12">
        <f t="shared" si="2"/>
        <v>4</v>
      </c>
      <c r="L12">
        <f t="shared" si="2"/>
        <v>0</v>
      </c>
      <c r="M12">
        <f t="shared" si="2"/>
        <v>0</v>
      </c>
      <c r="N12" s="12">
        <v>3.5</v>
      </c>
      <c r="O12" s="19">
        <v>0</v>
      </c>
      <c r="P12">
        <f t="shared" si="2"/>
        <v>2</v>
      </c>
      <c r="Q12">
        <f t="shared" si="2"/>
        <v>0</v>
      </c>
      <c r="R12">
        <f t="shared" si="2"/>
        <v>0</v>
      </c>
      <c r="S12">
        <f t="shared" si="2"/>
        <v>4</v>
      </c>
      <c r="T12" s="8">
        <f t="shared" si="2"/>
        <v>12</v>
      </c>
    </row>
    <row r="13" spans="1:20" x14ac:dyDescent="0.3">
      <c r="A13">
        <v>4</v>
      </c>
      <c r="B13" s="23">
        <v>12</v>
      </c>
      <c r="D13" s="12" cm="1">
        <f t="array" ref="D13">SUM(I13:T13*I$17:T$17)</f>
        <v>371.25</v>
      </c>
      <c r="E13" s="12">
        <f t="shared" si="1"/>
        <v>26</v>
      </c>
      <c r="I13" s="7">
        <f t="shared" si="2"/>
        <v>0</v>
      </c>
      <c r="J13">
        <f t="shared" si="2"/>
        <v>0</v>
      </c>
      <c r="K13">
        <f t="shared" si="2"/>
        <v>2.5</v>
      </c>
      <c r="L13">
        <f t="shared" si="2"/>
        <v>0</v>
      </c>
      <c r="M13">
        <f t="shared" si="2"/>
        <v>0</v>
      </c>
      <c r="N13" s="12">
        <v>2</v>
      </c>
      <c r="O13">
        <f t="shared" si="2"/>
        <v>0</v>
      </c>
      <c r="P13">
        <f t="shared" si="2"/>
        <v>1</v>
      </c>
      <c r="Q13">
        <f t="shared" si="2"/>
        <v>0</v>
      </c>
      <c r="R13">
        <f t="shared" si="2"/>
        <v>3.25</v>
      </c>
      <c r="S13">
        <f t="shared" si="2"/>
        <v>3</v>
      </c>
      <c r="T13" s="8">
        <f t="shared" si="2"/>
        <v>10</v>
      </c>
    </row>
    <row r="14" spans="1:20" x14ac:dyDescent="0.3">
      <c r="A14">
        <v>5</v>
      </c>
      <c r="B14" s="29">
        <v>14</v>
      </c>
      <c r="D14" s="14" cm="1">
        <f t="array" ref="D14">SUM(I14:T14*I$17:T$17)</f>
        <v>480</v>
      </c>
      <c r="E14" s="14">
        <f t="shared" si="1"/>
        <v>20</v>
      </c>
      <c r="I14" s="7">
        <f t="shared" si="2"/>
        <v>9</v>
      </c>
      <c r="J14">
        <f t="shared" si="2"/>
        <v>0</v>
      </c>
      <c r="K14">
        <f t="shared" si="2"/>
        <v>2</v>
      </c>
      <c r="L14">
        <f t="shared" si="2"/>
        <v>0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10</v>
      </c>
      <c r="S14">
        <f t="shared" si="2"/>
        <v>4</v>
      </c>
      <c r="T14" s="8">
        <f t="shared" si="2"/>
        <v>14</v>
      </c>
    </row>
    <row r="15" spans="1:20" ht="15" thickBot="1" x14ac:dyDescent="0.35">
      <c r="A15">
        <v>6</v>
      </c>
      <c r="B15" s="30">
        <v>10</v>
      </c>
      <c r="D15" s="12" cm="1">
        <f t="array" ref="D15">SUM(I15:T15*I$17:T$17)</f>
        <v>485</v>
      </c>
      <c r="E15" s="12">
        <f t="shared" si="1"/>
        <v>20</v>
      </c>
      <c r="I15" s="9">
        <f t="shared" si="2"/>
        <v>0</v>
      </c>
      <c r="J15" s="10">
        <f t="shared" si="2"/>
        <v>0</v>
      </c>
      <c r="K15" s="10">
        <v>5</v>
      </c>
      <c r="L15" s="10">
        <f t="shared" si="2"/>
        <v>0</v>
      </c>
      <c r="M15" s="10">
        <f t="shared" si="2"/>
        <v>1.5</v>
      </c>
      <c r="N15" s="10">
        <f t="shared" si="2"/>
        <v>1</v>
      </c>
      <c r="O15" s="10">
        <f t="shared" si="2"/>
        <v>0</v>
      </c>
      <c r="P15" s="10">
        <f t="shared" si="2"/>
        <v>0</v>
      </c>
      <c r="Q15" s="10">
        <f t="shared" si="2"/>
        <v>2</v>
      </c>
      <c r="R15" s="10">
        <f t="shared" si="2"/>
        <v>0</v>
      </c>
      <c r="S15" s="10">
        <f t="shared" si="2"/>
        <v>4</v>
      </c>
      <c r="T15" s="11">
        <f t="shared" si="2"/>
        <v>12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19D8-2D2D-46BC-8587-EB84118F2CAE}">
  <dimension ref="A1:T17"/>
  <sheetViews>
    <sheetView workbookViewId="0">
      <selection activeCell="I20" sqref="I20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7</v>
      </c>
      <c r="C2">
        <v>220</v>
      </c>
      <c r="D2">
        <v>325</v>
      </c>
      <c r="E2">
        <v>30</v>
      </c>
      <c r="F2">
        <v>593</v>
      </c>
      <c r="G2">
        <v>92.56</v>
      </c>
      <c r="H2">
        <v>1904.6568600000001</v>
      </c>
      <c r="I2">
        <v>0</v>
      </c>
      <c r="J2">
        <v>8</v>
      </c>
      <c r="K2">
        <v>3</v>
      </c>
      <c r="L2">
        <v>0</v>
      </c>
      <c r="M2">
        <v>0</v>
      </c>
      <c r="N2">
        <v>1.5</v>
      </c>
      <c r="O2">
        <v>0</v>
      </c>
      <c r="P2">
        <v>0</v>
      </c>
      <c r="Q2">
        <v>0</v>
      </c>
      <c r="R2">
        <v>1</v>
      </c>
      <c r="S2">
        <v>3</v>
      </c>
      <c r="T2">
        <v>8</v>
      </c>
    </row>
    <row r="3" spans="1:20" x14ac:dyDescent="0.3">
      <c r="A3">
        <v>2</v>
      </c>
      <c r="B3">
        <v>10</v>
      </c>
      <c r="C3">
        <v>240</v>
      </c>
      <c r="D3">
        <v>407.5</v>
      </c>
      <c r="E3">
        <v>24</v>
      </c>
      <c r="F3">
        <v>673</v>
      </c>
      <c r="G3">
        <v>86.16</v>
      </c>
      <c r="H3">
        <v>1865.5207969999999</v>
      </c>
      <c r="I3">
        <v>0</v>
      </c>
      <c r="J3">
        <v>8</v>
      </c>
      <c r="K3">
        <v>2</v>
      </c>
      <c r="L3">
        <v>4.5</v>
      </c>
      <c r="M3">
        <v>0</v>
      </c>
      <c r="N3">
        <v>0</v>
      </c>
      <c r="O3">
        <v>0</v>
      </c>
      <c r="P3">
        <v>0</v>
      </c>
      <c r="Q3">
        <v>0</v>
      </c>
      <c r="R3">
        <v>11</v>
      </c>
      <c r="S3">
        <v>3</v>
      </c>
      <c r="T3">
        <v>12</v>
      </c>
    </row>
    <row r="4" spans="1:20" x14ac:dyDescent="0.3">
      <c r="A4">
        <v>3</v>
      </c>
      <c r="B4">
        <v>4</v>
      </c>
      <c r="C4">
        <v>300</v>
      </c>
      <c r="D4">
        <v>242.5</v>
      </c>
      <c r="E4">
        <v>40</v>
      </c>
      <c r="F4">
        <v>610</v>
      </c>
      <c r="G4">
        <v>91.2</v>
      </c>
      <c r="H4">
        <v>1143.0554950000001</v>
      </c>
      <c r="I4">
        <v>0</v>
      </c>
      <c r="J4">
        <v>8</v>
      </c>
      <c r="K4">
        <v>2</v>
      </c>
      <c r="L4">
        <v>1.5</v>
      </c>
      <c r="M4">
        <v>0</v>
      </c>
      <c r="N4">
        <v>0</v>
      </c>
      <c r="O4">
        <v>0</v>
      </c>
      <c r="P4">
        <v>0</v>
      </c>
      <c r="Q4">
        <v>0</v>
      </c>
      <c r="R4">
        <v>5</v>
      </c>
      <c r="S4">
        <v>3</v>
      </c>
      <c r="T4">
        <v>6</v>
      </c>
    </row>
    <row r="5" spans="1:20" x14ac:dyDescent="0.3">
      <c r="A5">
        <v>4</v>
      </c>
      <c r="B5">
        <v>4</v>
      </c>
      <c r="C5">
        <v>200</v>
      </c>
      <c r="D5">
        <v>192.5</v>
      </c>
      <c r="E5">
        <v>40</v>
      </c>
      <c r="F5">
        <v>623</v>
      </c>
      <c r="G5">
        <v>90.16</v>
      </c>
      <c r="H5">
        <v>1121.752661</v>
      </c>
      <c r="I5">
        <v>0</v>
      </c>
      <c r="J5">
        <v>6</v>
      </c>
      <c r="K5">
        <v>2.5</v>
      </c>
      <c r="L5">
        <v>1.5</v>
      </c>
      <c r="M5">
        <v>0</v>
      </c>
      <c r="N5">
        <v>0</v>
      </c>
      <c r="O5">
        <v>0</v>
      </c>
      <c r="P5">
        <v>0</v>
      </c>
      <c r="Q5">
        <v>0</v>
      </c>
      <c r="R5">
        <v>4</v>
      </c>
      <c r="S5">
        <v>3</v>
      </c>
      <c r="T5">
        <v>4</v>
      </c>
    </row>
    <row r="6" spans="1:20" x14ac:dyDescent="0.3">
      <c r="A6">
        <v>5</v>
      </c>
      <c r="B6">
        <v>14</v>
      </c>
      <c r="C6">
        <v>280</v>
      </c>
      <c r="D6">
        <v>690</v>
      </c>
      <c r="E6">
        <v>14</v>
      </c>
      <c r="F6">
        <v>837</v>
      </c>
      <c r="G6">
        <v>73.039999999999992</v>
      </c>
      <c r="H6">
        <v>1238.189102</v>
      </c>
      <c r="I6">
        <v>0</v>
      </c>
      <c r="J6">
        <v>11</v>
      </c>
      <c r="K6">
        <v>2</v>
      </c>
      <c r="L6">
        <v>3</v>
      </c>
      <c r="M6">
        <v>0</v>
      </c>
      <c r="N6">
        <v>4</v>
      </c>
      <c r="O6">
        <v>0</v>
      </c>
      <c r="P6">
        <v>0</v>
      </c>
      <c r="Q6">
        <v>0</v>
      </c>
      <c r="R6">
        <v>2</v>
      </c>
      <c r="S6">
        <v>3</v>
      </c>
      <c r="T6">
        <v>20</v>
      </c>
    </row>
    <row r="7" spans="1:20" x14ac:dyDescent="0.3">
      <c r="A7">
        <v>6</v>
      </c>
      <c r="B7">
        <v>12</v>
      </c>
      <c r="C7">
        <v>330</v>
      </c>
      <c r="D7">
        <v>617.5</v>
      </c>
      <c r="E7">
        <v>16</v>
      </c>
      <c r="F7">
        <v>673</v>
      </c>
      <c r="G7">
        <v>86.16</v>
      </c>
      <c r="H7">
        <v>901.14524300000005</v>
      </c>
      <c r="I7">
        <v>0</v>
      </c>
      <c r="J7">
        <v>10.5</v>
      </c>
      <c r="K7">
        <v>2</v>
      </c>
      <c r="L7">
        <v>2</v>
      </c>
      <c r="M7">
        <v>0</v>
      </c>
      <c r="N7">
        <v>2.5</v>
      </c>
      <c r="O7">
        <v>0</v>
      </c>
      <c r="P7">
        <v>0</v>
      </c>
      <c r="Q7">
        <v>0</v>
      </c>
      <c r="R7">
        <v>1</v>
      </c>
      <c r="S7">
        <v>3</v>
      </c>
      <c r="T7">
        <v>20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16">
        <v>9</v>
      </c>
      <c r="D10" s="12" cm="1">
        <f t="array" ref="D10">SUM(I10:T10*I$17:T$17)</f>
        <v>347.5</v>
      </c>
      <c r="E10" s="12">
        <f>MIN(FLOOR(10000/D10,1),40)</f>
        <v>28</v>
      </c>
      <c r="I10" s="33">
        <v>2.25</v>
      </c>
      <c r="J10" s="5">
        <f t="shared" ref="J10:T10" si="0">J2</f>
        <v>8</v>
      </c>
      <c r="K10" s="5">
        <f t="shared" si="0"/>
        <v>3</v>
      </c>
      <c r="L10" s="5">
        <f t="shared" si="0"/>
        <v>0</v>
      </c>
      <c r="M10" s="5">
        <f t="shared" si="0"/>
        <v>0</v>
      </c>
      <c r="N10" s="5">
        <f t="shared" si="0"/>
        <v>1.5</v>
      </c>
      <c r="O10" s="5">
        <f t="shared" si="0"/>
        <v>0</v>
      </c>
      <c r="P10" s="5">
        <f t="shared" si="0"/>
        <v>0</v>
      </c>
      <c r="Q10" s="5">
        <f t="shared" si="0"/>
        <v>0</v>
      </c>
      <c r="R10" s="5">
        <f t="shared" si="0"/>
        <v>1</v>
      </c>
      <c r="S10" s="5">
        <f t="shared" si="0"/>
        <v>3</v>
      </c>
      <c r="T10" s="6">
        <f t="shared" si="0"/>
        <v>8</v>
      </c>
    </row>
    <row r="11" spans="1:20" x14ac:dyDescent="0.3">
      <c r="A11">
        <v>2</v>
      </c>
      <c r="B11" s="16">
        <v>14</v>
      </c>
      <c r="D11" s="12" cm="1">
        <f t="array" ref="D11">SUM(I11:T11*I$17:T$17)</f>
        <v>432.5</v>
      </c>
      <c r="E11" s="12">
        <f t="shared" ref="E11:E15" si="1">MIN(FLOOR(10000/D11,1),40)</f>
        <v>23</v>
      </c>
      <c r="I11" s="34">
        <v>2.5</v>
      </c>
      <c r="J11">
        <f t="shared" ref="J11:T11" si="2">J3</f>
        <v>8</v>
      </c>
      <c r="K11">
        <f t="shared" si="2"/>
        <v>2</v>
      </c>
      <c r="L11">
        <f t="shared" si="2"/>
        <v>4.5</v>
      </c>
      <c r="M11">
        <f t="shared" si="2"/>
        <v>0</v>
      </c>
      <c r="N11">
        <f t="shared" si="2"/>
        <v>0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11</v>
      </c>
      <c r="S11">
        <f t="shared" si="2"/>
        <v>3</v>
      </c>
      <c r="T11" s="8">
        <f t="shared" si="2"/>
        <v>12</v>
      </c>
    </row>
    <row r="12" spans="1:20" x14ac:dyDescent="0.3">
      <c r="A12">
        <v>3</v>
      </c>
      <c r="B12" s="29">
        <v>4</v>
      </c>
      <c r="D12" s="19" cm="1">
        <f t="array" ref="D12">SUM(I12:T12*I$17:T$17)</f>
        <v>241.25</v>
      </c>
      <c r="E12" s="14">
        <f t="shared" si="1"/>
        <v>40</v>
      </c>
      <c r="I12" s="7">
        <f t="shared" ref="I12:T12" si="3">I4</f>
        <v>0</v>
      </c>
      <c r="J12">
        <f t="shared" si="3"/>
        <v>8</v>
      </c>
      <c r="K12">
        <f t="shared" si="3"/>
        <v>2</v>
      </c>
      <c r="L12" s="19">
        <v>1.25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5</v>
      </c>
      <c r="S12">
        <f t="shared" si="3"/>
        <v>3</v>
      </c>
      <c r="T12" s="8">
        <f t="shared" si="3"/>
        <v>6</v>
      </c>
    </row>
    <row r="13" spans="1:20" x14ac:dyDescent="0.3">
      <c r="A13">
        <v>4</v>
      </c>
      <c r="B13" s="29">
        <v>4</v>
      </c>
      <c r="D13" s="19" cm="1">
        <f t="array" ref="D13">SUM(I13:T13*I$17:T$17)</f>
        <v>192.5</v>
      </c>
      <c r="E13" s="14">
        <f t="shared" si="1"/>
        <v>40</v>
      </c>
      <c r="I13" s="7">
        <f t="shared" ref="I13:T13" si="4">I5</f>
        <v>0</v>
      </c>
      <c r="J13">
        <f t="shared" si="4"/>
        <v>6</v>
      </c>
      <c r="K13">
        <f t="shared" si="4"/>
        <v>2.5</v>
      </c>
      <c r="L13">
        <f t="shared" si="4"/>
        <v>1.5</v>
      </c>
      <c r="M13">
        <f t="shared" si="4"/>
        <v>0</v>
      </c>
      <c r="N13">
        <f t="shared" si="4"/>
        <v>0</v>
      </c>
      <c r="O13">
        <f t="shared" si="4"/>
        <v>0</v>
      </c>
      <c r="P13">
        <f t="shared" si="4"/>
        <v>0</v>
      </c>
      <c r="Q13">
        <f t="shared" si="4"/>
        <v>0</v>
      </c>
      <c r="R13">
        <f t="shared" si="4"/>
        <v>4</v>
      </c>
      <c r="S13">
        <f t="shared" si="4"/>
        <v>3</v>
      </c>
      <c r="T13" s="8">
        <f t="shared" si="4"/>
        <v>4</v>
      </c>
    </row>
    <row r="14" spans="1:20" x14ac:dyDescent="0.3">
      <c r="A14">
        <v>5</v>
      </c>
      <c r="B14" s="16">
        <v>24</v>
      </c>
      <c r="D14" s="19" cm="1">
        <f t="array" ref="D14">SUM(I14:T14*I$17:T$17)</f>
        <v>687.5</v>
      </c>
      <c r="E14" s="14">
        <f t="shared" si="1"/>
        <v>14</v>
      </c>
      <c r="I14" s="7">
        <f t="shared" ref="I14:T14" si="5">I6</f>
        <v>0</v>
      </c>
      <c r="J14">
        <f t="shared" si="5"/>
        <v>11</v>
      </c>
      <c r="K14">
        <f t="shared" si="5"/>
        <v>2</v>
      </c>
      <c r="L14" s="19">
        <v>2.5</v>
      </c>
      <c r="M14">
        <f t="shared" si="5"/>
        <v>0</v>
      </c>
      <c r="N14">
        <f t="shared" si="5"/>
        <v>4</v>
      </c>
      <c r="O14">
        <f t="shared" si="5"/>
        <v>0</v>
      </c>
      <c r="P14">
        <f t="shared" si="5"/>
        <v>0</v>
      </c>
      <c r="Q14">
        <f t="shared" si="5"/>
        <v>0</v>
      </c>
      <c r="R14">
        <f t="shared" si="5"/>
        <v>2</v>
      </c>
      <c r="S14">
        <f t="shared" si="5"/>
        <v>3</v>
      </c>
      <c r="T14" s="8">
        <f t="shared" si="5"/>
        <v>20</v>
      </c>
    </row>
    <row r="15" spans="1:20" ht="15" thickBot="1" x14ac:dyDescent="0.35">
      <c r="A15">
        <v>6</v>
      </c>
      <c r="B15" s="18">
        <v>15</v>
      </c>
      <c r="D15" s="19" cm="1">
        <f t="array" ref="D15">SUM(I15:T15*I$17:T$17)</f>
        <v>616.25</v>
      </c>
      <c r="E15" s="14">
        <f t="shared" si="1"/>
        <v>16</v>
      </c>
      <c r="I15" s="9">
        <f t="shared" ref="I15:T15" si="6">I7</f>
        <v>0</v>
      </c>
      <c r="J15" s="24">
        <v>10.25</v>
      </c>
      <c r="K15" s="10">
        <f t="shared" si="6"/>
        <v>2</v>
      </c>
      <c r="L15" s="10">
        <f t="shared" si="6"/>
        <v>2</v>
      </c>
      <c r="M15" s="10">
        <f t="shared" si="6"/>
        <v>0</v>
      </c>
      <c r="N15" s="10">
        <f t="shared" si="6"/>
        <v>2.5</v>
      </c>
      <c r="O15" s="10">
        <f t="shared" si="6"/>
        <v>0</v>
      </c>
      <c r="P15" s="10">
        <f t="shared" si="6"/>
        <v>0</v>
      </c>
      <c r="Q15" s="10">
        <f t="shared" si="6"/>
        <v>0</v>
      </c>
      <c r="R15" s="10">
        <f t="shared" si="6"/>
        <v>1</v>
      </c>
      <c r="S15" s="10">
        <f t="shared" si="6"/>
        <v>3</v>
      </c>
      <c r="T15" s="11">
        <f t="shared" si="6"/>
        <v>20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F6CE-03EB-435C-9541-AE752E9B2820}">
  <dimension ref="A1:T17"/>
  <sheetViews>
    <sheetView workbookViewId="0">
      <selection activeCell="G19" sqref="G19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10</v>
      </c>
      <c r="C2">
        <v>240</v>
      </c>
      <c r="D2">
        <v>662.5</v>
      </c>
      <c r="E2">
        <v>15</v>
      </c>
      <c r="F2">
        <v>844</v>
      </c>
      <c r="G2">
        <v>72.48</v>
      </c>
      <c r="H2">
        <v>2260.562379</v>
      </c>
      <c r="I2">
        <v>7</v>
      </c>
      <c r="J2">
        <v>0</v>
      </c>
      <c r="K2">
        <v>7.25</v>
      </c>
      <c r="L2">
        <v>0</v>
      </c>
      <c r="M2">
        <v>0</v>
      </c>
      <c r="N2">
        <v>0</v>
      </c>
      <c r="O2">
        <v>4</v>
      </c>
      <c r="P2">
        <v>0</v>
      </c>
      <c r="Q2">
        <v>0</v>
      </c>
      <c r="R2">
        <v>0</v>
      </c>
      <c r="S2">
        <v>4</v>
      </c>
      <c r="T2">
        <v>12</v>
      </c>
    </row>
    <row r="3" spans="1:20" x14ac:dyDescent="0.3">
      <c r="A3">
        <v>2</v>
      </c>
      <c r="B3">
        <v>14</v>
      </c>
      <c r="C3">
        <v>340</v>
      </c>
      <c r="D3">
        <v>780</v>
      </c>
      <c r="E3">
        <v>12</v>
      </c>
      <c r="F3">
        <v>859</v>
      </c>
      <c r="G3">
        <v>71.28</v>
      </c>
      <c r="H3">
        <v>1527.300794</v>
      </c>
      <c r="I3">
        <v>5</v>
      </c>
      <c r="J3">
        <v>0</v>
      </c>
      <c r="K3">
        <v>5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8</v>
      </c>
      <c r="S3">
        <v>4</v>
      </c>
      <c r="T3">
        <v>24</v>
      </c>
    </row>
    <row r="4" spans="1:20" x14ac:dyDescent="0.3">
      <c r="A4">
        <v>3</v>
      </c>
      <c r="B4">
        <v>10</v>
      </c>
      <c r="C4">
        <v>300</v>
      </c>
      <c r="D4">
        <v>555</v>
      </c>
      <c r="E4">
        <v>18</v>
      </c>
      <c r="F4">
        <v>625</v>
      </c>
      <c r="G4">
        <v>90</v>
      </c>
      <c r="H4">
        <v>1113.379821</v>
      </c>
      <c r="I4">
        <v>4.5</v>
      </c>
      <c r="J4">
        <v>2</v>
      </c>
      <c r="K4">
        <v>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20</v>
      </c>
      <c r="S4">
        <v>4</v>
      </c>
      <c r="T4">
        <v>15</v>
      </c>
    </row>
    <row r="5" spans="1:20" x14ac:dyDescent="0.3">
      <c r="A5">
        <v>4</v>
      </c>
      <c r="B5">
        <v>14</v>
      </c>
      <c r="C5">
        <v>280</v>
      </c>
      <c r="D5">
        <v>662.5</v>
      </c>
      <c r="E5">
        <v>15</v>
      </c>
      <c r="F5">
        <v>784</v>
      </c>
      <c r="G5">
        <v>77.279999999999987</v>
      </c>
      <c r="H5">
        <v>1849.7293870000001</v>
      </c>
      <c r="I5">
        <v>5</v>
      </c>
      <c r="J5">
        <v>1</v>
      </c>
      <c r="K5">
        <v>4</v>
      </c>
      <c r="L5">
        <v>0</v>
      </c>
      <c r="M5">
        <v>0</v>
      </c>
      <c r="N5">
        <v>0</v>
      </c>
      <c r="O5">
        <v>2</v>
      </c>
      <c r="P5">
        <v>0</v>
      </c>
      <c r="Q5">
        <v>0</v>
      </c>
      <c r="R5">
        <v>1.5</v>
      </c>
      <c r="S5">
        <v>4</v>
      </c>
      <c r="T5">
        <v>20</v>
      </c>
    </row>
    <row r="6" spans="1:20" x14ac:dyDescent="0.3">
      <c r="A6">
        <v>5</v>
      </c>
      <c r="B6">
        <v>8</v>
      </c>
      <c r="C6">
        <v>250</v>
      </c>
      <c r="D6">
        <v>315</v>
      </c>
      <c r="E6">
        <v>31</v>
      </c>
      <c r="F6">
        <v>549</v>
      </c>
      <c r="G6">
        <v>96.08</v>
      </c>
      <c r="H6">
        <v>1182.1124930000001</v>
      </c>
      <c r="I6">
        <v>3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4</v>
      </c>
      <c r="T6">
        <v>10</v>
      </c>
    </row>
    <row r="7" spans="1:20" x14ac:dyDescent="0.3">
      <c r="A7">
        <v>6</v>
      </c>
      <c r="B7">
        <v>12</v>
      </c>
      <c r="C7">
        <v>200</v>
      </c>
      <c r="D7">
        <v>485</v>
      </c>
      <c r="E7">
        <v>20</v>
      </c>
      <c r="F7">
        <v>768</v>
      </c>
      <c r="G7">
        <v>78.56</v>
      </c>
      <c r="H7">
        <v>855.92139499999996</v>
      </c>
      <c r="I7">
        <v>0</v>
      </c>
      <c r="J7">
        <v>8</v>
      </c>
      <c r="K7">
        <v>3.5</v>
      </c>
      <c r="L7">
        <v>0</v>
      </c>
      <c r="M7">
        <v>1</v>
      </c>
      <c r="N7">
        <v>2</v>
      </c>
      <c r="O7">
        <v>0</v>
      </c>
      <c r="P7">
        <v>0</v>
      </c>
      <c r="Q7">
        <v>1</v>
      </c>
      <c r="R7">
        <v>0</v>
      </c>
      <c r="S7">
        <v>3</v>
      </c>
      <c r="T7">
        <v>12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16">
        <v>23</v>
      </c>
      <c r="D10" s="12" cm="1">
        <f t="array" ref="D10">SUM(I10:T10*I$17:T$17)</f>
        <v>665</v>
      </c>
      <c r="E10" s="14">
        <f>MIN(FLOOR(10000/D10,1),40)</f>
        <v>15</v>
      </c>
      <c r="I10" s="4">
        <f>I2</f>
        <v>7</v>
      </c>
      <c r="J10" s="5">
        <f t="shared" ref="J10:T10" si="0">J2</f>
        <v>0</v>
      </c>
      <c r="K10" s="20">
        <v>7.5</v>
      </c>
      <c r="L10" s="5">
        <f t="shared" si="0"/>
        <v>0</v>
      </c>
      <c r="M10" s="5">
        <f t="shared" si="0"/>
        <v>0</v>
      </c>
      <c r="N10" s="5">
        <f t="shared" si="0"/>
        <v>0</v>
      </c>
      <c r="O10" s="5">
        <f t="shared" si="0"/>
        <v>4</v>
      </c>
      <c r="P10" s="5">
        <f t="shared" si="0"/>
        <v>0</v>
      </c>
      <c r="Q10" s="5">
        <f t="shared" si="0"/>
        <v>0</v>
      </c>
      <c r="R10" s="5">
        <f t="shared" si="0"/>
        <v>0</v>
      </c>
      <c r="S10" s="5">
        <f t="shared" si="0"/>
        <v>4</v>
      </c>
      <c r="T10" s="6">
        <f t="shared" si="0"/>
        <v>12</v>
      </c>
    </row>
    <row r="11" spans="1:20" x14ac:dyDescent="0.3">
      <c r="A11">
        <v>2</v>
      </c>
      <c r="B11" s="16">
        <v>20</v>
      </c>
      <c r="D11" s="12" cm="1">
        <f t="array" ref="D11">SUM(I11:T11*I$17:T$17)</f>
        <v>795</v>
      </c>
      <c r="E11" s="14">
        <f t="shared" ref="E11:E15" si="1">MIN(FLOOR(10000/D11,1),40)</f>
        <v>12</v>
      </c>
      <c r="I11" s="34">
        <v>5.5</v>
      </c>
      <c r="J11" s="12">
        <v>2</v>
      </c>
      <c r="K11">
        <f t="shared" ref="I11:T15" si="2">K3</f>
        <v>5</v>
      </c>
      <c r="L11">
        <f t="shared" si="2"/>
        <v>0</v>
      </c>
      <c r="M11">
        <f t="shared" si="2"/>
        <v>0</v>
      </c>
      <c r="N11">
        <f t="shared" si="2"/>
        <v>0</v>
      </c>
      <c r="O11">
        <f t="shared" si="2"/>
        <v>2</v>
      </c>
      <c r="P11">
        <f t="shared" si="2"/>
        <v>0</v>
      </c>
      <c r="Q11">
        <f t="shared" si="2"/>
        <v>0</v>
      </c>
      <c r="R11">
        <f t="shared" si="2"/>
        <v>8</v>
      </c>
      <c r="S11">
        <f t="shared" si="2"/>
        <v>4</v>
      </c>
      <c r="T11" s="8">
        <f t="shared" si="2"/>
        <v>24</v>
      </c>
    </row>
    <row r="12" spans="1:20" x14ac:dyDescent="0.3">
      <c r="A12">
        <v>3</v>
      </c>
      <c r="B12" s="16">
        <v>33</v>
      </c>
      <c r="D12" s="12" cm="1">
        <f t="array" ref="D12">SUM(I12:T12*I$17:T$17)</f>
        <v>567.5</v>
      </c>
      <c r="E12" s="12">
        <f t="shared" si="1"/>
        <v>17</v>
      </c>
      <c r="I12" s="7">
        <f t="shared" si="2"/>
        <v>4.5</v>
      </c>
      <c r="J12">
        <f t="shared" si="2"/>
        <v>2</v>
      </c>
      <c r="K12" s="19">
        <v>4.75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0</v>
      </c>
      <c r="Q12">
        <f t="shared" si="2"/>
        <v>0</v>
      </c>
      <c r="R12" s="12">
        <v>25</v>
      </c>
      <c r="S12">
        <f t="shared" si="2"/>
        <v>4</v>
      </c>
      <c r="T12" s="8">
        <f t="shared" si="2"/>
        <v>15</v>
      </c>
    </row>
    <row r="13" spans="1:20" x14ac:dyDescent="0.3">
      <c r="A13">
        <v>4</v>
      </c>
      <c r="B13" s="16">
        <v>15</v>
      </c>
      <c r="D13" s="12" cm="1">
        <f t="array" ref="D13">SUM(I13:T13*I$17:T$17)</f>
        <v>670</v>
      </c>
      <c r="E13" s="12">
        <f t="shared" si="1"/>
        <v>14</v>
      </c>
      <c r="I13" s="7">
        <v>5</v>
      </c>
      <c r="J13">
        <v>1</v>
      </c>
      <c r="K13">
        <f t="shared" si="2"/>
        <v>4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2</v>
      </c>
      <c r="P13">
        <f t="shared" si="2"/>
        <v>0</v>
      </c>
      <c r="Q13">
        <f t="shared" si="2"/>
        <v>0</v>
      </c>
      <c r="R13" s="12">
        <v>3</v>
      </c>
      <c r="S13">
        <f t="shared" si="2"/>
        <v>4</v>
      </c>
      <c r="T13" s="8">
        <f t="shared" si="2"/>
        <v>20</v>
      </c>
    </row>
    <row r="14" spans="1:20" x14ac:dyDescent="0.3">
      <c r="A14">
        <v>5</v>
      </c>
      <c r="B14" s="29">
        <v>8</v>
      </c>
      <c r="D14" s="12" cm="1">
        <f t="array" ref="D14">SUM(I14:T14*I$17:T$17)</f>
        <v>352.5</v>
      </c>
      <c r="E14" s="12">
        <f t="shared" si="1"/>
        <v>28</v>
      </c>
      <c r="I14" s="7">
        <f t="shared" si="2"/>
        <v>3</v>
      </c>
      <c r="J14">
        <f t="shared" si="2"/>
        <v>0</v>
      </c>
      <c r="K14">
        <f t="shared" si="2"/>
        <v>2</v>
      </c>
      <c r="L14">
        <f t="shared" si="2"/>
        <v>0</v>
      </c>
      <c r="M14">
        <f t="shared" si="2"/>
        <v>0</v>
      </c>
      <c r="N14">
        <f t="shared" si="2"/>
        <v>0</v>
      </c>
      <c r="O14" s="12">
        <v>0.75</v>
      </c>
      <c r="P14" s="19">
        <v>0</v>
      </c>
      <c r="Q14">
        <f t="shared" si="2"/>
        <v>0</v>
      </c>
      <c r="R14" s="12">
        <f>2*1.75</f>
        <v>3.5</v>
      </c>
      <c r="S14">
        <f t="shared" si="2"/>
        <v>4</v>
      </c>
      <c r="T14" s="8">
        <f t="shared" si="2"/>
        <v>10</v>
      </c>
    </row>
    <row r="15" spans="1:20" ht="15" thickBot="1" x14ac:dyDescent="0.35">
      <c r="A15">
        <v>6</v>
      </c>
      <c r="B15" s="30">
        <v>12</v>
      </c>
      <c r="D15" s="12" cm="1">
        <f t="array" ref="D15">SUM(I15:T15*I$17:T$17)</f>
        <v>495</v>
      </c>
      <c r="E15" s="14">
        <f t="shared" si="1"/>
        <v>20</v>
      </c>
      <c r="I15" s="9">
        <f t="shared" si="2"/>
        <v>0</v>
      </c>
      <c r="J15" s="10">
        <f t="shared" si="2"/>
        <v>8</v>
      </c>
      <c r="K15" s="10">
        <f t="shared" si="2"/>
        <v>3.5</v>
      </c>
      <c r="L15" s="10">
        <f t="shared" si="2"/>
        <v>0</v>
      </c>
      <c r="M15" s="13">
        <v>2</v>
      </c>
      <c r="N15" s="10">
        <f t="shared" si="2"/>
        <v>2</v>
      </c>
      <c r="O15" s="10">
        <f t="shared" si="2"/>
        <v>0</v>
      </c>
      <c r="P15" s="10">
        <f t="shared" si="2"/>
        <v>0</v>
      </c>
      <c r="Q15" s="10">
        <f t="shared" si="2"/>
        <v>1</v>
      </c>
      <c r="R15" s="10">
        <f t="shared" si="2"/>
        <v>0</v>
      </c>
      <c r="S15" s="10">
        <f t="shared" si="2"/>
        <v>3</v>
      </c>
      <c r="T15" s="11">
        <f t="shared" si="2"/>
        <v>12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28D8-6F0A-4FE1-B128-BF3271638C3C}">
  <dimension ref="A1:T17"/>
  <sheetViews>
    <sheetView workbookViewId="0">
      <selection activeCell="K22" sqref="K22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4</v>
      </c>
      <c r="C2">
        <v>200</v>
      </c>
      <c r="D2">
        <v>212.5</v>
      </c>
      <c r="E2">
        <v>40</v>
      </c>
      <c r="F2">
        <v>623</v>
      </c>
      <c r="G2">
        <v>90.16</v>
      </c>
      <c r="H2">
        <v>1671.998012</v>
      </c>
      <c r="I2">
        <v>0</v>
      </c>
      <c r="J2">
        <v>7.5</v>
      </c>
      <c r="K2">
        <v>0</v>
      </c>
      <c r="L2">
        <v>2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4</v>
      </c>
      <c r="T2">
        <v>4</v>
      </c>
    </row>
    <row r="3" spans="1:20" x14ac:dyDescent="0.3">
      <c r="A3">
        <v>2</v>
      </c>
      <c r="B3">
        <v>4</v>
      </c>
      <c r="C3">
        <v>300</v>
      </c>
      <c r="D3">
        <v>297.5</v>
      </c>
      <c r="E3">
        <v>33</v>
      </c>
      <c r="F3">
        <v>569</v>
      </c>
      <c r="G3">
        <v>94.48</v>
      </c>
      <c r="H3">
        <v>473.512766</v>
      </c>
      <c r="I3">
        <v>0</v>
      </c>
      <c r="J3">
        <v>7.5</v>
      </c>
      <c r="K3">
        <v>4</v>
      </c>
      <c r="L3">
        <v>3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4</v>
      </c>
      <c r="T3">
        <v>6</v>
      </c>
    </row>
    <row r="4" spans="1:20" x14ac:dyDescent="0.3">
      <c r="A4">
        <v>3</v>
      </c>
      <c r="B4">
        <v>10</v>
      </c>
      <c r="C4">
        <v>200</v>
      </c>
      <c r="D4">
        <v>355</v>
      </c>
      <c r="E4">
        <v>28</v>
      </c>
      <c r="F4">
        <v>647</v>
      </c>
      <c r="G4">
        <v>88.24</v>
      </c>
      <c r="H4">
        <v>924.08960300000001</v>
      </c>
      <c r="I4">
        <v>0</v>
      </c>
      <c r="J4">
        <v>0</v>
      </c>
      <c r="K4">
        <v>4</v>
      </c>
      <c r="L4">
        <v>5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4</v>
      </c>
      <c r="T4">
        <v>10</v>
      </c>
    </row>
    <row r="5" spans="1:20" x14ac:dyDescent="0.3">
      <c r="A5">
        <v>4</v>
      </c>
      <c r="B5">
        <v>10</v>
      </c>
      <c r="C5">
        <v>260</v>
      </c>
      <c r="D5">
        <v>495</v>
      </c>
      <c r="E5">
        <v>20</v>
      </c>
      <c r="F5">
        <v>682</v>
      </c>
      <c r="G5">
        <v>85.44</v>
      </c>
      <c r="H5">
        <v>565.66376700000001</v>
      </c>
      <c r="I5">
        <v>0</v>
      </c>
      <c r="J5">
        <v>1</v>
      </c>
      <c r="K5">
        <v>0</v>
      </c>
      <c r="L5">
        <v>4</v>
      </c>
      <c r="M5">
        <v>0</v>
      </c>
      <c r="N5">
        <v>0</v>
      </c>
      <c r="O5">
        <v>2</v>
      </c>
      <c r="P5">
        <v>0</v>
      </c>
      <c r="Q5">
        <v>1</v>
      </c>
      <c r="R5">
        <v>0</v>
      </c>
      <c r="S5">
        <v>4</v>
      </c>
      <c r="T5">
        <v>13</v>
      </c>
    </row>
    <row r="6" spans="1:20" x14ac:dyDescent="0.3">
      <c r="A6">
        <v>5</v>
      </c>
      <c r="B6">
        <v>5</v>
      </c>
      <c r="C6">
        <v>240</v>
      </c>
      <c r="D6">
        <v>250</v>
      </c>
      <c r="E6">
        <v>40</v>
      </c>
      <c r="F6">
        <v>563</v>
      </c>
      <c r="G6">
        <v>94.96</v>
      </c>
      <c r="H6">
        <v>1150.0935770000001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3</v>
      </c>
      <c r="T6">
        <v>6</v>
      </c>
    </row>
    <row r="7" spans="1:20" x14ac:dyDescent="0.3">
      <c r="A7">
        <v>6</v>
      </c>
      <c r="B7">
        <v>5</v>
      </c>
      <c r="C7">
        <v>240</v>
      </c>
      <c r="D7">
        <v>270</v>
      </c>
      <c r="E7">
        <v>37</v>
      </c>
      <c r="F7">
        <v>548</v>
      </c>
      <c r="G7">
        <v>96.16</v>
      </c>
      <c r="H7">
        <v>1521.833877</v>
      </c>
      <c r="I7">
        <v>0</v>
      </c>
      <c r="J7">
        <v>12</v>
      </c>
      <c r="K7">
        <v>4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6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23">
        <v>6</v>
      </c>
      <c r="D10" s="12" cm="1">
        <f t="array" ref="D10">SUM(I10:T10*I$17:T$17)</f>
        <v>252.5</v>
      </c>
      <c r="E10" s="12">
        <f>MIN(FLOOR(10000/D10,1),40)</f>
        <v>39</v>
      </c>
      <c r="I10" s="4">
        <f>I2</f>
        <v>0</v>
      </c>
      <c r="J10" s="5">
        <f t="shared" ref="J10:T10" si="0">J2</f>
        <v>7.5</v>
      </c>
      <c r="K10" s="20">
        <v>4</v>
      </c>
      <c r="L10" s="5">
        <f t="shared" si="0"/>
        <v>2</v>
      </c>
      <c r="M10" s="5">
        <f t="shared" si="0"/>
        <v>0</v>
      </c>
      <c r="N10" s="5">
        <f t="shared" si="0"/>
        <v>1</v>
      </c>
      <c r="O10" s="5">
        <f t="shared" si="0"/>
        <v>0</v>
      </c>
      <c r="P10" s="5">
        <f t="shared" si="0"/>
        <v>0</v>
      </c>
      <c r="Q10" s="5">
        <f t="shared" si="0"/>
        <v>0</v>
      </c>
      <c r="R10" s="5">
        <f t="shared" si="0"/>
        <v>1</v>
      </c>
      <c r="S10" s="5">
        <f t="shared" si="0"/>
        <v>4</v>
      </c>
      <c r="T10" s="6">
        <f t="shared" si="0"/>
        <v>4</v>
      </c>
    </row>
    <row r="11" spans="1:20" x14ac:dyDescent="0.3">
      <c r="A11">
        <v>2</v>
      </c>
      <c r="B11" s="23">
        <v>6</v>
      </c>
      <c r="D11" s="14" cm="1">
        <f t="array" ref="D11">SUM(I11:T11*I$17:T$17)</f>
        <v>297.5</v>
      </c>
      <c r="E11" s="14">
        <f t="shared" ref="E11:E15" si="1">MIN(FLOOR(10000/D11,1),40)</f>
        <v>33</v>
      </c>
      <c r="I11" s="7">
        <f t="shared" ref="I11:T15" si="2">I3</f>
        <v>0</v>
      </c>
      <c r="J11">
        <f t="shared" si="2"/>
        <v>7.5</v>
      </c>
      <c r="K11">
        <f t="shared" si="2"/>
        <v>4</v>
      </c>
      <c r="L11">
        <f t="shared" si="2"/>
        <v>3</v>
      </c>
      <c r="M11">
        <f t="shared" si="2"/>
        <v>0</v>
      </c>
      <c r="N11">
        <f t="shared" si="2"/>
        <v>1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1</v>
      </c>
      <c r="S11">
        <f t="shared" si="2"/>
        <v>4</v>
      </c>
      <c r="T11" s="8">
        <f t="shared" si="2"/>
        <v>6</v>
      </c>
    </row>
    <row r="12" spans="1:20" x14ac:dyDescent="0.3">
      <c r="A12">
        <v>3</v>
      </c>
      <c r="B12" s="23">
        <v>12</v>
      </c>
      <c r="D12" s="12" cm="1">
        <f t="array" ref="D12">SUM(I12:T12*I$17:T$17)</f>
        <v>420</v>
      </c>
      <c r="E12" s="12">
        <f t="shared" si="1"/>
        <v>23</v>
      </c>
      <c r="I12" s="7">
        <f t="shared" si="2"/>
        <v>0</v>
      </c>
      <c r="J12" s="12">
        <v>1</v>
      </c>
      <c r="K12">
        <f t="shared" si="2"/>
        <v>4</v>
      </c>
      <c r="L12">
        <f t="shared" si="2"/>
        <v>5</v>
      </c>
      <c r="M12">
        <f t="shared" si="2"/>
        <v>0</v>
      </c>
      <c r="N12" s="12">
        <v>1.5</v>
      </c>
      <c r="O12">
        <v>0</v>
      </c>
      <c r="P12">
        <f t="shared" si="2"/>
        <v>0</v>
      </c>
      <c r="Q12">
        <f t="shared" si="2"/>
        <v>1</v>
      </c>
      <c r="R12">
        <f t="shared" si="2"/>
        <v>0</v>
      </c>
      <c r="S12">
        <f t="shared" si="2"/>
        <v>4</v>
      </c>
      <c r="T12" s="8">
        <f t="shared" si="2"/>
        <v>10</v>
      </c>
    </row>
    <row r="13" spans="1:20" x14ac:dyDescent="0.3">
      <c r="A13">
        <v>4</v>
      </c>
      <c r="B13" s="23">
        <v>12</v>
      </c>
      <c r="D13" s="19" cm="1">
        <f t="array" ref="D13">SUM(I13:T13*I$17:T$17)</f>
        <v>480</v>
      </c>
      <c r="E13" s="14">
        <f t="shared" si="1"/>
        <v>20</v>
      </c>
      <c r="I13" s="7">
        <f t="shared" si="2"/>
        <v>0</v>
      </c>
      <c r="J13">
        <f t="shared" si="2"/>
        <v>1</v>
      </c>
      <c r="K13" s="12">
        <v>4</v>
      </c>
      <c r="L13">
        <v>5</v>
      </c>
      <c r="M13">
        <f t="shared" si="2"/>
        <v>0</v>
      </c>
      <c r="N13" s="12">
        <v>1.5</v>
      </c>
      <c r="O13" s="19">
        <v>0</v>
      </c>
      <c r="P13">
        <f t="shared" si="2"/>
        <v>0</v>
      </c>
      <c r="Q13">
        <f t="shared" si="2"/>
        <v>1</v>
      </c>
      <c r="R13">
        <f t="shared" si="2"/>
        <v>0</v>
      </c>
      <c r="S13">
        <f t="shared" si="2"/>
        <v>4</v>
      </c>
      <c r="T13" s="8">
        <f t="shared" si="2"/>
        <v>13</v>
      </c>
    </row>
    <row r="14" spans="1:20" x14ac:dyDescent="0.3">
      <c r="A14">
        <v>5</v>
      </c>
      <c r="B14" s="29">
        <v>5</v>
      </c>
      <c r="D14" s="19" cm="1">
        <f t="array" ref="D14">SUM(I14:T14*I$17:T$17)</f>
        <v>240</v>
      </c>
      <c r="E14" s="14">
        <f t="shared" si="1"/>
        <v>40</v>
      </c>
      <c r="I14" s="7">
        <v>1.5</v>
      </c>
      <c r="J14">
        <f t="shared" si="2"/>
        <v>0</v>
      </c>
      <c r="K14" s="12">
        <v>0.5</v>
      </c>
      <c r="L14">
        <f t="shared" si="2"/>
        <v>0</v>
      </c>
      <c r="M14">
        <f t="shared" si="2"/>
        <v>0</v>
      </c>
      <c r="N14" s="19">
        <v>0.5</v>
      </c>
      <c r="O14">
        <f t="shared" si="2"/>
        <v>0</v>
      </c>
      <c r="P14">
        <f t="shared" si="2"/>
        <v>0</v>
      </c>
      <c r="Q14">
        <f t="shared" si="2"/>
        <v>1</v>
      </c>
      <c r="R14">
        <f t="shared" si="2"/>
        <v>0</v>
      </c>
      <c r="S14">
        <f t="shared" si="2"/>
        <v>3</v>
      </c>
      <c r="T14" s="8">
        <f t="shared" si="2"/>
        <v>6</v>
      </c>
    </row>
    <row r="15" spans="1:20" ht="15" thickBot="1" x14ac:dyDescent="0.35">
      <c r="A15">
        <v>6</v>
      </c>
      <c r="B15" s="30">
        <v>5</v>
      </c>
      <c r="D15" s="14" cm="1">
        <f t="array" ref="D15">SUM(I15:T15*I$17:T$17)</f>
        <v>270</v>
      </c>
      <c r="E15" s="14">
        <f t="shared" si="1"/>
        <v>37</v>
      </c>
      <c r="I15" s="9">
        <f t="shared" si="2"/>
        <v>0</v>
      </c>
      <c r="J15" s="10">
        <f t="shared" si="2"/>
        <v>12</v>
      </c>
      <c r="K15" s="10">
        <f t="shared" si="2"/>
        <v>4</v>
      </c>
      <c r="L15" s="10">
        <f t="shared" si="2"/>
        <v>2</v>
      </c>
      <c r="M15" s="10">
        <f t="shared" si="2"/>
        <v>0</v>
      </c>
      <c r="N15" s="10">
        <f t="shared" si="2"/>
        <v>0</v>
      </c>
      <c r="O15" s="10">
        <f t="shared" si="2"/>
        <v>0</v>
      </c>
      <c r="P15" s="10">
        <f t="shared" si="2"/>
        <v>0</v>
      </c>
      <c r="Q15" s="10">
        <f t="shared" si="2"/>
        <v>0</v>
      </c>
      <c r="R15" s="10">
        <f t="shared" si="2"/>
        <v>0</v>
      </c>
      <c r="S15" s="10">
        <f t="shared" si="2"/>
        <v>4</v>
      </c>
      <c r="T15" s="11">
        <f t="shared" si="2"/>
        <v>6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07FD-3F70-4FC9-BE9C-4C556F04936C}">
  <dimension ref="A1:T15"/>
  <sheetViews>
    <sheetView topLeftCell="A7" zoomScale="74" workbookViewId="0">
      <selection activeCell="D22" sqref="D22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5</v>
      </c>
      <c r="C2">
        <v>200</v>
      </c>
      <c r="D2">
        <v>432.5</v>
      </c>
      <c r="E2">
        <v>23</v>
      </c>
      <c r="F2">
        <v>729</v>
      </c>
      <c r="G2">
        <v>81.679999999999993</v>
      </c>
      <c r="H2">
        <v>4510.0733369999998</v>
      </c>
      <c r="I2">
        <v>2</v>
      </c>
      <c r="J2">
        <v>10.5</v>
      </c>
      <c r="K2">
        <v>22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</v>
      </c>
      <c r="T2">
        <v>5</v>
      </c>
    </row>
    <row r="3" spans="1:20" x14ac:dyDescent="0.3">
      <c r="A3">
        <v>2</v>
      </c>
      <c r="B3">
        <v>5</v>
      </c>
      <c r="C3">
        <v>200</v>
      </c>
      <c r="D3">
        <v>262.5</v>
      </c>
      <c r="E3">
        <v>38</v>
      </c>
      <c r="F3">
        <v>620</v>
      </c>
      <c r="G3">
        <v>90.4</v>
      </c>
      <c r="H3">
        <v>329.91561000000002</v>
      </c>
      <c r="I3">
        <v>2</v>
      </c>
      <c r="J3">
        <v>10.5</v>
      </c>
      <c r="K3">
        <v>4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</v>
      </c>
      <c r="T3">
        <v>5</v>
      </c>
    </row>
    <row r="4" spans="1:20" x14ac:dyDescent="0.3">
      <c r="A4">
        <v>3</v>
      </c>
      <c r="B4">
        <v>9</v>
      </c>
      <c r="C4">
        <v>200</v>
      </c>
      <c r="D4">
        <v>400</v>
      </c>
      <c r="E4">
        <v>25</v>
      </c>
      <c r="F4">
        <v>657</v>
      </c>
      <c r="G4">
        <v>87.440000000000012</v>
      </c>
      <c r="H4">
        <v>3122.7021049999998</v>
      </c>
      <c r="I4">
        <v>0</v>
      </c>
      <c r="J4">
        <v>9</v>
      </c>
      <c r="K4">
        <v>3</v>
      </c>
      <c r="L4">
        <v>3</v>
      </c>
      <c r="M4">
        <v>0</v>
      </c>
      <c r="N4">
        <v>0</v>
      </c>
      <c r="O4">
        <v>1.5</v>
      </c>
      <c r="P4">
        <v>0</v>
      </c>
      <c r="Q4">
        <v>0</v>
      </c>
      <c r="R4">
        <v>0</v>
      </c>
      <c r="S4">
        <v>4</v>
      </c>
      <c r="T4">
        <v>9</v>
      </c>
    </row>
    <row r="5" spans="1:20" x14ac:dyDescent="0.3">
      <c r="A5">
        <v>4</v>
      </c>
      <c r="B5">
        <v>9</v>
      </c>
      <c r="C5">
        <v>200</v>
      </c>
      <c r="D5">
        <v>343.75</v>
      </c>
      <c r="E5">
        <v>29</v>
      </c>
      <c r="F5">
        <v>641</v>
      </c>
      <c r="G5">
        <v>88.72</v>
      </c>
      <c r="H5">
        <v>1670.151382</v>
      </c>
      <c r="I5">
        <v>0</v>
      </c>
      <c r="J5">
        <v>1.5</v>
      </c>
      <c r="K5">
        <v>3</v>
      </c>
      <c r="L5">
        <v>3</v>
      </c>
      <c r="M5">
        <v>0</v>
      </c>
      <c r="N5">
        <v>1.5</v>
      </c>
      <c r="O5">
        <v>0</v>
      </c>
      <c r="P5">
        <v>0</v>
      </c>
      <c r="Q5">
        <v>0</v>
      </c>
      <c r="R5">
        <v>2.25</v>
      </c>
      <c r="S5">
        <v>4</v>
      </c>
      <c r="T5">
        <v>9</v>
      </c>
    </row>
    <row r="6" spans="1:20" x14ac:dyDescent="0.3">
      <c r="A6">
        <v>5</v>
      </c>
      <c r="B6">
        <v>12</v>
      </c>
      <c r="C6">
        <v>200</v>
      </c>
      <c r="D6">
        <v>436.25</v>
      </c>
      <c r="E6">
        <v>22</v>
      </c>
      <c r="F6">
        <v>771</v>
      </c>
      <c r="G6">
        <v>78.320000000000007</v>
      </c>
      <c r="H6">
        <v>195.22662299999999</v>
      </c>
      <c r="I6">
        <v>0</v>
      </c>
      <c r="J6">
        <v>2</v>
      </c>
      <c r="K6">
        <v>3.5</v>
      </c>
      <c r="L6">
        <v>4</v>
      </c>
      <c r="M6">
        <v>0</v>
      </c>
      <c r="N6">
        <v>2</v>
      </c>
      <c r="O6">
        <v>0</v>
      </c>
      <c r="P6">
        <v>0</v>
      </c>
      <c r="Q6">
        <v>0</v>
      </c>
      <c r="R6">
        <v>2.25</v>
      </c>
      <c r="S6">
        <v>4</v>
      </c>
      <c r="T6">
        <v>12</v>
      </c>
    </row>
    <row r="7" spans="1:20" ht="15" thickBot="1" x14ac:dyDescent="0.35"/>
    <row r="8" spans="1:20" ht="15" thickBot="1" x14ac:dyDescent="0.35">
      <c r="A8" t="s">
        <v>0</v>
      </c>
      <c r="B8" s="1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s="4" t="s">
        <v>8</v>
      </c>
      <c r="J8" s="5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6" t="s">
        <v>19</v>
      </c>
    </row>
    <row r="9" spans="1:20" x14ac:dyDescent="0.3">
      <c r="A9">
        <v>1</v>
      </c>
      <c r="B9" s="29">
        <v>5</v>
      </c>
      <c r="D9" s="12" cm="1">
        <f t="array" ref="D9">SUM(I9:T9*I$15:T$15)</f>
        <v>447.5</v>
      </c>
      <c r="E9" s="12">
        <f>MIN(FLOOR(10000/D9,1),40)</f>
        <v>22</v>
      </c>
      <c r="I9" s="31">
        <v>1.5</v>
      </c>
      <c r="J9" s="5">
        <f t="shared" ref="J9:T9" si="0">J2</f>
        <v>10.5</v>
      </c>
      <c r="K9" s="5">
        <v>22</v>
      </c>
      <c r="L9" s="20">
        <v>4</v>
      </c>
      <c r="M9" s="5">
        <f t="shared" si="0"/>
        <v>0</v>
      </c>
      <c r="N9" s="5">
        <f t="shared" si="0"/>
        <v>0</v>
      </c>
      <c r="O9" s="5">
        <f t="shared" si="0"/>
        <v>0</v>
      </c>
      <c r="P9" s="5">
        <f t="shared" si="0"/>
        <v>0</v>
      </c>
      <c r="Q9" s="5">
        <f t="shared" si="0"/>
        <v>0</v>
      </c>
      <c r="R9" s="5">
        <f t="shared" si="0"/>
        <v>0</v>
      </c>
      <c r="S9" s="5">
        <f t="shared" si="0"/>
        <v>4</v>
      </c>
      <c r="T9" s="6">
        <f t="shared" si="0"/>
        <v>5</v>
      </c>
    </row>
    <row r="10" spans="1:20" x14ac:dyDescent="0.3">
      <c r="A10">
        <v>2</v>
      </c>
      <c r="B10" s="29">
        <v>5</v>
      </c>
      <c r="D10" s="19" cm="1">
        <f t="array" ref="D10">SUM(I10:T10*I$15:T$15)</f>
        <v>257.5</v>
      </c>
      <c r="E10" s="14">
        <f t="shared" ref="E10:E13" si="1">MIN(FLOOR(10000/D10,1),40)</f>
        <v>38</v>
      </c>
      <c r="I10" s="27">
        <v>1.5</v>
      </c>
      <c r="J10">
        <f t="shared" ref="J10:T10" si="2">J3</f>
        <v>10.5</v>
      </c>
      <c r="K10">
        <f t="shared" si="2"/>
        <v>4</v>
      </c>
      <c r="L10">
        <f t="shared" si="2"/>
        <v>2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0</v>
      </c>
      <c r="R10">
        <f t="shared" si="2"/>
        <v>0</v>
      </c>
      <c r="S10">
        <f t="shared" si="2"/>
        <v>4</v>
      </c>
      <c r="T10" s="8">
        <f t="shared" si="2"/>
        <v>5</v>
      </c>
    </row>
    <row r="11" spans="1:20" x14ac:dyDescent="0.3">
      <c r="A11">
        <v>3</v>
      </c>
      <c r="B11" s="23">
        <v>10</v>
      </c>
      <c r="D11" s="19" cm="1">
        <f t="array" ref="D11">SUM(I11:T11*I$15:T$15)</f>
        <v>365</v>
      </c>
      <c r="E11" s="26">
        <f t="shared" si="1"/>
        <v>27</v>
      </c>
      <c r="I11" s="7">
        <f t="shared" ref="I11:T11" si="3">I4</f>
        <v>0</v>
      </c>
      <c r="J11" s="12">
        <v>6</v>
      </c>
      <c r="K11" s="12">
        <v>4</v>
      </c>
      <c r="L11">
        <f t="shared" si="3"/>
        <v>3</v>
      </c>
      <c r="M11">
        <f t="shared" si="3"/>
        <v>0</v>
      </c>
      <c r="N11">
        <v>0</v>
      </c>
      <c r="O11" s="19">
        <v>1</v>
      </c>
      <c r="P11">
        <f t="shared" si="3"/>
        <v>0</v>
      </c>
      <c r="Q11">
        <f t="shared" si="3"/>
        <v>0</v>
      </c>
      <c r="R11">
        <v>0</v>
      </c>
      <c r="S11">
        <f t="shared" si="3"/>
        <v>4</v>
      </c>
      <c r="T11" s="8">
        <f t="shared" si="3"/>
        <v>9</v>
      </c>
    </row>
    <row r="12" spans="1:20" x14ac:dyDescent="0.3">
      <c r="A12">
        <v>4</v>
      </c>
      <c r="B12" s="29">
        <v>9</v>
      </c>
      <c r="D12" s="19" cm="1">
        <f t="array" ref="D12">SUM(I12:T12*I$15:T$15)</f>
        <v>342.5</v>
      </c>
      <c r="E12" s="14">
        <f t="shared" si="1"/>
        <v>29</v>
      </c>
      <c r="I12" s="7">
        <f t="shared" ref="I12:T12" si="4">I5</f>
        <v>0</v>
      </c>
      <c r="J12">
        <f t="shared" si="4"/>
        <v>1.5</v>
      </c>
      <c r="K12">
        <f t="shared" si="4"/>
        <v>3</v>
      </c>
      <c r="L12">
        <f t="shared" si="4"/>
        <v>3</v>
      </c>
      <c r="M12">
        <f t="shared" si="4"/>
        <v>0</v>
      </c>
      <c r="N12">
        <f t="shared" si="4"/>
        <v>1.5</v>
      </c>
      <c r="O12">
        <f t="shared" si="4"/>
        <v>0</v>
      </c>
      <c r="P12">
        <f t="shared" si="4"/>
        <v>0</v>
      </c>
      <c r="Q12">
        <f t="shared" si="4"/>
        <v>0</v>
      </c>
      <c r="R12" s="19">
        <v>2</v>
      </c>
      <c r="S12">
        <f t="shared" si="4"/>
        <v>4</v>
      </c>
      <c r="T12" s="8">
        <f t="shared" si="4"/>
        <v>9</v>
      </c>
    </row>
    <row r="13" spans="1:20" ht="15" thickBot="1" x14ac:dyDescent="0.35">
      <c r="A13">
        <v>5</v>
      </c>
      <c r="B13" s="30">
        <v>12</v>
      </c>
      <c r="D13" s="14" cm="1">
        <f t="array" ref="D13">SUM(I13:T13*I$15:T$15)</f>
        <v>436.25</v>
      </c>
      <c r="E13" s="14">
        <f t="shared" si="1"/>
        <v>22</v>
      </c>
      <c r="I13" s="9">
        <f t="shared" ref="I13:T13" si="5">I6</f>
        <v>0</v>
      </c>
      <c r="J13" s="10">
        <f t="shared" si="5"/>
        <v>2</v>
      </c>
      <c r="K13" s="10">
        <f t="shared" si="5"/>
        <v>3.5</v>
      </c>
      <c r="L13" s="10">
        <f t="shared" si="5"/>
        <v>4</v>
      </c>
      <c r="M13" s="10">
        <f t="shared" si="5"/>
        <v>0</v>
      </c>
      <c r="N13" s="10">
        <f t="shared" si="5"/>
        <v>2</v>
      </c>
      <c r="O13" s="10">
        <f t="shared" si="5"/>
        <v>0</v>
      </c>
      <c r="P13" s="10">
        <f t="shared" si="5"/>
        <v>0</v>
      </c>
      <c r="Q13" s="10">
        <f t="shared" si="5"/>
        <v>0</v>
      </c>
      <c r="R13" s="10">
        <f t="shared" si="5"/>
        <v>2.25</v>
      </c>
      <c r="S13" s="10">
        <f t="shared" si="5"/>
        <v>4</v>
      </c>
      <c r="T13" s="11">
        <f t="shared" si="5"/>
        <v>12</v>
      </c>
    </row>
    <row r="15" spans="1:20" x14ac:dyDescent="0.3">
      <c r="I15">
        <v>10</v>
      </c>
      <c r="J15">
        <v>5</v>
      </c>
      <c r="K15">
        <v>10</v>
      </c>
      <c r="L15">
        <v>5</v>
      </c>
      <c r="M15">
        <v>10</v>
      </c>
      <c r="N15">
        <v>40</v>
      </c>
      <c r="O15">
        <v>60</v>
      </c>
      <c r="P15">
        <v>20</v>
      </c>
      <c r="Q15">
        <v>50</v>
      </c>
      <c r="R15">
        <v>5</v>
      </c>
      <c r="S15">
        <v>10</v>
      </c>
      <c r="T15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5CBF-9DB3-4944-873D-08F4A2C06507}">
  <dimension ref="A1:T17"/>
  <sheetViews>
    <sheetView zoomScale="108" zoomScaleNormal="130" workbookViewId="0">
      <selection activeCell="B15" activeCellId="1" sqref="B10:B13 B15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14</v>
      </c>
      <c r="C2">
        <v>200</v>
      </c>
      <c r="D2">
        <v>660</v>
      </c>
      <c r="E2">
        <v>15</v>
      </c>
      <c r="F2">
        <v>948</v>
      </c>
      <c r="G2">
        <v>64.16</v>
      </c>
      <c r="H2">
        <v>100.697132</v>
      </c>
      <c r="I2">
        <v>11</v>
      </c>
      <c r="J2">
        <v>6</v>
      </c>
      <c r="K2">
        <v>8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4</v>
      </c>
      <c r="T2">
        <v>14</v>
      </c>
    </row>
    <row r="3" spans="1:20" x14ac:dyDescent="0.3">
      <c r="A3">
        <v>2</v>
      </c>
      <c r="B3">
        <v>14</v>
      </c>
      <c r="C3">
        <v>200</v>
      </c>
      <c r="D3">
        <v>695</v>
      </c>
      <c r="E3">
        <v>14</v>
      </c>
      <c r="F3">
        <v>997</v>
      </c>
      <c r="G3">
        <v>60.24</v>
      </c>
      <c r="H3">
        <v>368.23571800000002</v>
      </c>
      <c r="I3">
        <v>8</v>
      </c>
      <c r="J3">
        <v>0</v>
      </c>
      <c r="K3">
        <v>6</v>
      </c>
      <c r="L3">
        <v>0</v>
      </c>
      <c r="M3">
        <v>0</v>
      </c>
      <c r="N3">
        <v>0</v>
      </c>
      <c r="O3">
        <v>3</v>
      </c>
      <c r="P3">
        <v>0</v>
      </c>
      <c r="Q3">
        <v>0.5</v>
      </c>
      <c r="R3">
        <v>8</v>
      </c>
      <c r="S3">
        <v>3</v>
      </c>
      <c r="T3">
        <v>14</v>
      </c>
    </row>
    <row r="4" spans="1:20" x14ac:dyDescent="0.3">
      <c r="A4">
        <v>3</v>
      </c>
      <c r="B4">
        <v>8</v>
      </c>
      <c r="C4">
        <v>250</v>
      </c>
      <c r="D4">
        <v>405</v>
      </c>
      <c r="E4">
        <v>24</v>
      </c>
      <c r="F4">
        <v>559</v>
      </c>
      <c r="G4">
        <v>95.28</v>
      </c>
      <c r="H4">
        <v>695.65410399999996</v>
      </c>
      <c r="I4">
        <v>5</v>
      </c>
      <c r="J4">
        <v>0</v>
      </c>
      <c r="K4">
        <v>3</v>
      </c>
      <c r="L4">
        <v>0</v>
      </c>
      <c r="M4">
        <v>0</v>
      </c>
      <c r="N4">
        <v>0</v>
      </c>
      <c r="O4">
        <v>1.5</v>
      </c>
      <c r="P4">
        <v>0</v>
      </c>
      <c r="Q4">
        <v>0</v>
      </c>
      <c r="R4">
        <v>1</v>
      </c>
      <c r="S4">
        <v>3</v>
      </c>
      <c r="T4">
        <v>10</v>
      </c>
    </row>
    <row r="5" spans="1:20" x14ac:dyDescent="0.3">
      <c r="A5">
        <v>4</v>
      </c>
      <c r="B5">
        <v>8</v>
      </c>
      <c r="C5">
        <v>250</v>
      </c>
      <c r="D5">
        <v>330</v>
      </c>
      <c r="E5">
        <v>30</v>
      </c>
      <c r="F5">
        <v>578</v>
      </c>
      <c r="G5">
        <v>93.76</v>
      </c>
      <c r="H5">
        <v>111.15081499999999</v>
      </c>
      <c r="I5">
        <v>2</v>
      </c>
      <c r="J5">
        <v>0</v>
      </c>
      <c r="K5">
        <v>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6</v>
      </c>
      <c r="S5">
        <v>3</v>
      </c>
      <c r="T5">
        <v>10</v>
      </c>
    </row>
    <row r="6" spans="1:20" x14ac:dyDescent="0.3">
      <c r="A6">
        <v>5</v>
      </c>
      <c r="B6">
        <v>4</v>
      </c>
      <c r="C6">
        <v>350</v>
      </c>
      <c r="D6">
        <v>235</v>
      </c>
      <c r="E6">
        <v>40</v>
      </c>
      <c r="F6">
        <v>610</v>
      </c>
      <c r="G6">
        <v>91.2</v>
      </c>
      <c r="H6">
        <v>378.86733099999998</v>
      </c>
      <c r="I6">
        <v>5</v>
      </c>
      <c r="J6">
        <v>0</v>
      </c>
      <c r="K6">
        <v>1.5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7</v>
      </c>
    </row>
    <row r="7" spans="1:20" x14ac:dyDescent="0.3">
      <c r="A7">
        <v>6</v>
      </c>
      <c r="B7">
        <v>10</v>
      </c>
      <c r="C7">
        <v>200</v>
      </c>
      <c r="D7">
        <v>342.5</v>
      </c>
      <c r="E7">
        <v>29</v>
      </c>
      <c r="F7">
        <v>641</v>
      </c>
      <c r="G7">
        <v>88.72</v>
      </c>
      <c r="H7">
        <v>333.97115600000001</v>
      </c>
      <c r="I7">
        <v>3</v>
      </c>
      <c r="J7">
        <v>0</v>
      </c>
      <c r="K7">
        <v>1.5</v>
      </c>
      <c r="L7">
        <v>0</v>
      </c>
      <c r="M7">
        <v>0</v>
      </c>
      <c r="N7">
        <v>1.5</v>
      </c>
      <c r="O7">
        <v>0</v>
      </c>
      <c r="P7">
        <v>0</v>
      </c>
      <c r="Q7">
        <v>0</v>
      </c>
      <c r="R7">
        <v>1.5</v>
      </c>
      <c r="S7">
        <v>3</v>
      </c>
      <c r="T7">
        <v>10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23">
        <v>18</v>
      </c>
      <c r="D10" s="12" cm="1">
        <f t="array" ref="D10">SUM(I10:T10*I$17:T$17)</f>
        <v>712.5</v>
      </c>
      <c r="E10" s="12">
        <f>MIN(FLOOR(10000/D10,1),40)</f>
        <v>14</v>
      </c>
      <c r="I10" s="33">
        <v>16</v>
      </c>
      <c r="J10" s="20">
        <v>6.5</v>
      </c>
      <c r="K10" s="5">
        <f t="shared" ref="K10:T10" si="0">K2</f>
        <v>8</v>
      </c>
      <c r="L10" s="5">
        <f t="shared" si="0"/>
        <v>0</v>
      </c>
      <c r="M10" s="5">
        <f t="shared" si="0"/>
        <v>0</v>
      </c>
      <c r="N10" s="20">
        <v>3</v>
      </c>
      <c r="O10" s="15">
        <v>0</v>
      </c>
      <c r="P10" s="5">
        <f t="shared" si="0"/>
        <v>0</v>
      </c>
      <c r="Q10" s="5">
        <f t="shared" si="0"/>
        <v>0</v>
      </c>
      <c r="R10" s="5">
        <f t="shared" si="0"/>
        <v>0</v>
      </c>
      <c r="S10" s="5">
        <f t="shared" si="0"/>
        <v>4</v>
      </c>
      <c r="T10" s="6">
        <f t="shared" si="0"/>
        <v>14</v>
      </c>
    </row>
    <row r="11" spans="1:20" x14ac:dyDescent="0.3">
      <c r="A11">
        <v>2</v>
      </c>
      <c r="B11" s="23">
        <v>55</v>
      </c>
      <c r="D11" s="12" cm="1">
        <f t="array" ref="D11">SUM(I11:T11*I$17:T$17)</f>
        <v>725.9</v>
      </c>
      <c r="E11" s="12">
        <f t="shared" ref="E11:E15" si="1">MIN(FLOOR(10000/D11,1),40)</f>
        <v>13</v>
      </c>
      <c r="I11" s="34">
        <v>9</v>
      </c>
      <c r="J11">
        <f t="shared" ref="I11:T15" si="2">J3</f>
        <v>0</v>
      </c>
      <c r="K11" s="19">
        <v>5.5</v>
      </c>
      <c r="L11">
        <f t="shared" si="2"/>
        <v>0</v>
      </c>
      <c r="M11">
        <f t="shared" si="2"/>
        <v>0</v>
      </c>
      <c r="N11">
        <f t="shared" si="2"/>
        <v>0</v>
      </c>
      <c r="O11" s="19">
        <v>2.7650000000000001</v>
      </c>
      <c r="P11">
        <f t="shared" si="2"/>
        <v>0</v>
      </c>
      <c r="Q11">
        <f t="shared" si="2"/>
        <v>0.5</v>
      </c>
      <c r="R11" s="12">
        <v>16</v>
      </c>
      <c r="S11">
        <f t="shared" si="2"/>
        <v>3</v>
      </c>
      <c r="T11" s="8">
        <f t="shared" si="2"/>
        <v>14</v>
      </c>
    </row>
    <row r="12" spans="1:20" x14ac:dyDescent="0.3">
      <c r="A12">
        <v>3</v>
      </c>
      <c r="B12" s="23">
        <v>11</v>
      </c>
      <c r="D12" s="12" cm="1">
        <f t="array" ref="D12">SUM(I12:T12*I$17:T$17)</f>
        <v>436.25</v>
      </c>
      <c r="E12" s="12">
        <f t="shared" si="1"/>
        <v>22</v>
      </c>
      <c r="I12" s="34">
        <v>6</v>
      </c>
      <c r="J12">
        <f t="shared" si="2"/>
        <v>0</v>
      </c>
      <c r="K12" s="12">
        <v>4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1.5</v>
      </c>
      <c r="P12">
        <f t="shared" si="2"/>
        <v>0</v>
      </c>
      <c r="Q12">
        <f t="shared" si="2"/>
        <v>0</v>
      </c>
      <c r="R12" s="12">
        <v>3.25</v>
      </c>
      <c r="S12">
        <f t="shared" si="2"/>
        <v>3</v>
      </c>
      <c r="T12" s="8">
        <f t="shared" si="2"/>
        <v>10</v>
      </c>
    </row>
    <row r="13" spans="1:20" x14ac:dyDescent="0.3">
      <c r="A13">
        <v>4</v>
      </c>
      <c r="B13" s="23">
        <v>10</v>
      </c>
      <c r="D13" s="12" cm="1">
        <f t="array" ref="D13">SUM(I13:T13*I$17:T$17)</f>
        <v>395</v>
      </c>
      <c r="E13" s="12">
        <f t="shared" si="1"/>
        <v>25</v>
      </c>
      <c r="I13" s="7">
        <f t="shared" si="2"/>
        <v>2</v>
      </c>
      <c r="J13">
        <f t="shared" si="2"/>
        <v>0</v>
      </c>
      <c r="K13" s="12">
        <v>6.5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 s="12">
        <v>16</v>
      </c>
      <c r="S13">
        <f t="shared" si="2"/>
        <v>3</v>
      </c>
      <c r="T13" s="8">
        <f t="shared" si="2"/>
        <v>10</v>
      </c>
    </row>
    <row r="14" spans="1:20" x14ac:dyDescent="0.3">
      <c r="A14">
        <v>5</v>
      </c>
      <c r="B14" s="29">
        <v>4</v>
      </c>
      <c r="D14" s="12" cm="1">
        <f t="array" ref="D14">SUM(I14:T14*I$17:T$17)</f>
        <v>262.5</v>
      </c>
      <c r="E14" s="12">
        <f t="shared" si="1"/>
        <v>38</v>
      </c>
      <c r="I14" s="34">
        <v>6.75</v>
      </c>
      <c r="J14">
        <f t="shared" si="2"/>
        <v>0</v>
      </c>
      <c r="K14" s="12">
        <v>2.5</v>
      </c>
      <c r="L14">
        <f t="shared" si="2"/>
        <v>0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3</v>
      </c>
      <c r="T14" s="8">
        <f t="shared" si="2"/>
        <v>7</v>
      </c>
    </row>
    <row r="15" spans="1:20" ht="15" thickBot="1" x14ac:dyDescent="0.35">
      <c r="A15">
        <v>6</v>
      </c>
      <c r="B15" s="22">
        <v>20</v>
      </c>
      <c r="D15" s="12" cm="1">
        <f t="array" ref="D15">SUM(I15:T15*I$17:T$17)</f>
        <v>391.25</v>
      </c>
      <c r="E15" s="12">
        <f t="shared" si="1"/>
        <v>25</v>
      </c>
      <c r="I15" s="21">
        <v>4.5</v>
      </c>
      <c r="J15" s="10">
        <f t="shared" si="2"/>
        <v>0</v>
      </c>
      <c r="K15" s="13">
        <v>2</v>
      </c>
      <c r="L15" s="10">
        <f t="shared" si="2"/>
        <v>0</v>
      </c>
      <c r="M15" s="10">
        <f t="shared" si="2"/>
        <v>0</v>
      </c>
      <c r="N15" s="13">
        <v>2</v>
      </c>
      <c r="O15" s="10">
        <f t="shared" si="2"/>
        <v>0</v>
      </c>
      <c r="P15" s="10">
        <f t="shared" si="2"/>
        <v>0</v>
      </c>
      <c r="Q15" s="10">
        <f t="shared" si="2"/>
        <v>0</v>
      </c>
      <c r="R15" s="13">
        <v>3.25</v>
      </c>
      <c r="S15" s="10">
        <f t="shared" si="2"/>
        <v>3</v>
      </c>
      <c r="T15" s="11">
        <f t="shared" si="2"/>
        <v>10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46B8-25C7-40E6-A673-5D5B4A6C28E5}">
  <dimension ref="A1:T17"/>
  <sheetViews>
    <sheetView workbookViewId="0">
      <selection activeCell="B15" activeCellId="2" sqref="B10:B11 B13 B15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8</v>
      </c>
      <c r="C2">
        <v>200</v>
      </c>
      <c r="D2">
        <v>520</v>
      </c>
      <c r="E2">
        <v>19</v>
      </c>
      <c r="F2">
        <v>774</v>
      </c>
      <c r="G2">
        <v>78.08</v>
      </c>
      <c r="H2">
        <v>1884.958995</v>
      </c>
      <c r="I2">
        <v>10</v>
      </c>
      <c r="J2">
        <v>0</v>
      </c>
      <c r="K2">
        <v>8</v>
      </c>
      <c r="L2">
        <v>12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4</v>
      </c>
      <c r="T2">
        <v>8</v>
      </c>
    </row>
    <row r="3" spans="1:20" x14ac:dyDescent="0.3">
      <c r="A3">
        <v>2</v>
      </c>
      <c r="B3">
        <v>4</v>
      </c>
      <c r="C3">
        <v>200</v>
      </c>
      <c r="D3">
        <v>315</v>
      </c>
      <c r="E3">
        <v>31</v>
      </c>
      <c r="F3">
        <v>651</v>
      </c>
      <c r="G3">
        <v>87.92</v>
      </c>
      <c r="H3">
        <v>1101.434086</v>
      </c>
      <c r="I3">
        <v>3</v>
      </c>
      <c r="J3">
        <v>0</v>
      </c>
      <c r="K3">
        <v>4</v>
      </c>
      <c r="L3">
        <v>1</v>
      </c>
      <c r="M3">
        <v>0</v>
      </c>
      <c r="N3">
        <v>2</v>
      </c>
      <c r="O3">
        <v>0</v>
      </c>
      <c r="P3">
        <v>1</v>
      </c>
      <c r="Q3">
        <v>0</v>
      </c>
      <c r="R3">
        <v>4</v>
      </c>
      <c r="S3">
        <v>4</v>
      </c>
      <c r="T3">
        <v>4</v>
      </c>
    </row>
    <row r="4" spans="1:20" x14ac:dyDescent="0.3">
      <c r="A4">
        <v>3</v>
      </c>
      <c r="B4">
        <v>4</v>
      </c>
      <c r="C4">
        <v>200</v>
      </c>
      <c r="D4">
        <v>197.5</v>
      </c>
      <c r="E4">
        <v>40</v>
      </c>
      <c r="F4">
        <v>623</v>
      </c>
      <c r="G4">
        <v>90.16</v>
      </c>
      <c r="H4">
        <v>1323.4920440000001</v>
      </c>
      <c r="I4">
        <v>1</v>
      </c>
      <c r="J4">
        <v>0</v>
      </c>
      <c r="K4">
        <v>2</v>
      </c>
      <c r="L4">
        <v>0</v>
      </c>
      <c r="M4">
        <v>0</v>
      </c>
      <c r="N4">
        <v>0</v>
      </c>
      <c r="O4">
        <v>0.5</v>
      </c>
      <c r="P4">
        <v>0</v>
      </c>
      <c r="Q4">
        <v>0</v>
      </c>
      <c r="R4">
        <v>3.5</v>
      </c>
      <c r="S4">
        <v>4</v>
      </c>
      <c r="T4">
        <v>4</v>
      </c>
    </row>
    <row r="5" spans="1:20" x14ac:dyDescent="0.3">
      <c r="A5">
        <v>4</v>
      </c>
      <c r="B5">
        <v>4</v>
      </c>
      <c r="C5">
        <v>200</v>
      </c>
      <c r="D5">
        <v>275</v>
      </c>
      <c r="E5">
        <v>36</v>
      </c>
      <c r="F5">
        <v>623</v>
      </c>
      <c r="G5">
        <v>90.16</v>
      </c>
      <c r="H5">
        <v>839.74528499999997</v>
      </c>
      <c r="I5">
        <v>1.5</v>
      </c>
      <c r="J5">
        <v>8</v>
      </c>
      <c r="K5">
        <v>4</v>
      </c>
      <c r="L5">
        <v>0</v>
      </c>
      <c r="M5">
        <v>0</v>
      </c>
      <c r="N5">
        <v>1.5</v>
      </c>
      <c r="O5">
        <v>0</v>
      </c>
      <c r="P5">
        <v>0</v>
      </c>
      <c r="Q5">
        <v>0</v>
      </c>
      <c r="R5">
        <v>0</v>
      </c>
      <c r="S5">
        <v>4</v>
      </c>
      <c r="T5">
        <v>4</v>
      </c>
    </row>
    <row r="6" spans="1:20" x14ac:dyDescent="0.3">
      <c r="A6">
        <v>5</v>
      </c>
      <c r="B6">
        <v>4</v>
      </c>
      <c r="C6">
        <v>200</v>
      </c>
      <c r="D6">
        <v>212.5</v>
      </c>
      <c r="E6">
        <v>40</v>
      </c>
      <c r="F6">
        <v>623</v>
      </c>
      <c r="G6">
        <v>90.16</v>
      </c>
      <c r="H6">
        <v>616.61078099999997</v>
      </c>
      <c r="I6">
        <v>2.5</v>
      </c>
      <c r="J6">
        <v>1.75</v>
      </c>
      <c r="K6">
        <v>3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3.75</v>
      </c>
      <c r="S6">
        <v>4</v>
      </c>
      <c r="T6">
        <v>4</v>
      </c>
    </row>
    <row r="7" spans="1:20" x14ac:dyDescent="0.3">
      <c r="A7">
        <v>6</v>
      </c>
      <c r="B7">
        <v>12</v>
      </c>
      <c r="C7">
        <v>200</v>
      </c>
      <c r="D7">
        <v>520</v>
      </c>
      <c r="E7">
        <v>19</v>
      </c>
      <c r="F7">
        <v>774</v>
      </c>
      <c r="G7">
        <v>78.08</v>
      </c>
      <c r="H7">
        <v>875.36913300000003</v>
      </c>
      <c r="I7">
        <v>3</v>
      </c>
      <c r="J7">
        <v>4</v>
      </c>
      <c r="K7">
        <v>5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4</v>
      </c>
      <c r="S7">
        <v>4</v>
      </c>
      <c r="T7">
        <v>12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23">
        <v>32</v>
      </c>
      <c r="D10" s="12" cm="1">
        <f t="array" ref="D10">SUM(I10:T10*I$17:T$17)</f>
        <v>700</v>
      </c>
      <c r="E10" s="12">
        <f>MIN(FLOOR(10000/D10,1),40)</f>
        <v>14</v>
      </c>
      <c r="I10" s="4">
        <f>I2</f>
        <v>10</v>
      </c>
      <c r="J10" s="5">
        <f t="shared" ref="J10:T10" si="0">J2</f>
        <v>0</v>
      </c>
      <c r="K10" s="5">
        <f t="shared" si="0"/>
        <v>8</v>
      </c>
      <c r="L10" s="5">
        <f t="shared" si="0"/>
        <v>12</v>
      </c>
      <c r="M10" s="5">
        <f t="shared" si="0"/>
        <v>0</v>
      </c>
      <c r="N10" s="5">
        <f t="shared" si="0"/>
        <v>0</v>
      </c>
      <c r="O10" s="20">
        <v>4</v>
      </c>
      <c r="P10" s="5">
        <f t="shared" si="0"/>
        <v>1</v>
      </c>
      <c r="Q10" s="5">
        <f t="shared" si="0"/>
        <v>0</v>
      </c>
      <c r="R10" s="5">
        <f t="shared" si="0"/>
        <v>0</v>
      </c>
      <c r="S10" s="5">
        <f t="shared" si="0"/>
        <v>4</v>
      </c>
      <c r="T10" s="6">
        <f t="shared" si="0"/>
        <v>8</v>
      </c>
    </row>
    <row r="11" spans="1:20" x14ac:dyDescent="0.3">
      <c r="A11">
        <v>2</v>
      </c>
      <c r="B11" s="23">
        <v>12</v>
      </c>
      <c r="D11" s="12" cm="1">
        <f t="array" ref="D11">SUM(I11:T11*I$17:T$17)</f>
        <v>317.5</v>
      </c>
      <c r="E11" s="14">
        <f t="shared" ref="E11:E15" si="1">MIN(FLOOR(10000/D11,1),40)</f>
        <v>31</v>
      </c>
      <c r="I11" s="7">
        <f t="shared" ref="I11:T11" si="2">I3</f>
        <v>3</v>
      </c>
      <c r="J11">
        <f t="shared" si="2"/>
        <v>0</v>
      </c>
      <c r="K11">
        <f t="shared" si="2"/>
        <v>4</v>
      </c>
      <c r="L11" s="12">
        <v>1.5</v>
      </c>
      <c r="M11">
        <f t="shared" si="2"/>
        <v>0</v>
      </c>
      <c r="N11">
        <f t="shared" si="2"/>
        <v>2</v>
      </c>
      <c r="O11">
        <f t="shared" si="2"/>
        <v>0</v>
      </c>
      <c r="P11">
        <f t="shared" si="2"/>
        <v>1</v>
      </c>
      <c r="Q11">
        <f t="shared" si="2"/>
        <v>0</v>
      </c>
      <c r="R11">
        <f t="shared" si="2"/>
        <v>4</v>
      </c>
      <c r="S11">
        <f t="shared" si="2"/>
        <v>4</v>
      </c>
      <c r="T11" s="8">
        <f t="shared" si="2"/>
        <v>4</v>
      </c>
    </row>
    <row r="12" spans="1:20" x14ac:dyDescent="0.3">
      <c r="A12">
        <v>3</v>
      </c>
      <c r="B12" s="29">
        <v>4</v>
      </c>
      <c r="D12" s="12" cm="1">
        <f t="array" ref="D12">SUM(I12:T12*I$17:T$17)</f>
        <v>216.25</v>
      </c>
      <c r="E12" s="14">
        <f t="shared" si="1"/>
        <v>40</v>
      </c>
      <c r="I12" s="34">
        <v>3</v>
      </c>
      <c r="J12">
        <f t="shared" ref="J12:T12" si="3">J4</f>
        <v>0</v>
      </c>
      <c r="K12">
        <f t="shared" si="3"/>
        <v>2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0.5</v>
      </c>
      <c r="P12">
        <f t="shared" si="3"/>
        <v>0</v>
      </c>
      <c r="Q12">
        <f t="shared" si="3"/>
        <v>0</v>
      </c>
      <c r="R12" s="19">
        <v>3.25</v>
      </c>
      <c r="S12">
        <f t="shared" si="3"/>
        <v>4</v>
      </c>
      <c r="T12" s="8">
        <f t="shared" si="3"/>
        <v>4</v>
      </c>
    </row>
    <row r="13" spans="1:20" x14ac:dyDescent="0.3">
      <c r="A13">
        <v>4</v>
      </c>
      <c r="B13" s="23">
        <v>5</v>
      </c>
      <c r="D13" s="19" cm="1">
        <f t="array" ref="D13">SUM(I13:T13*I$17:T$17)</f>
        <v>267.5</v>
      </c>
      <c r="E13" s="26">
        <f t="shared" si="1"/>
        <v>37</v>
      </c>
      <c r="I13" s="7">
        <f t="shared" ref="I13:T13" si="4">I5</f>
        <v>1.5</v>
      </c>
      <c r="J13" s="12">
        <v>8.5</v>
      </c>
      <c r="K13">
        <f t="shared" si="4"/>
        <v>4</v>
      </c>
      <c r="L13">
        <f t="shared" si="4"/>
        <v>0</v>
      </c>
      <c r="M13">
        <f t="shared" si="4"/>
        <v>0</v>
      </c>
      <c r="N13" s="19">
        <v>1.25</v>
      </c>
      <c r="O13">
        <f t="shared" si="4"/>
        <v>0</v>
      </c>
      <c r="P13">
        <f t="shared" si="4"/>
        <v>0</v>
      </c>
      <c r="Q13">
        <f t="shared" si="4"/>
        <v>0</v>
      </c>
      <c r="R13">
        <f t="shared" si="4"/>
        <v>0</v>
      </c>
      <c r="S13">
        <f t="shared" si="4"/>
        <v>4</v>
      </c>
      <c r="T13" s="8">
        <f t="shared" si="4"/>
        <v>4</v>
      </c>
    </row>
    <row r="14" spans="1:20" x14ac:dyDescent="0.3">
      <c r="A14">
        <v>5</v>
      </c>
      <c r="B14" s="29">
        <v>4</v>
      </c>
      <c r="D14" s="12" cm="1">
        <f t="array" ref="D14">SUM(I14:T14*I$17:T$17)</f>
        <v>227.5</v>
      </c>
      <c r="E14" s="14">
        <f t="shared" si="1"/>
        <v>40</v>
      </c>
      <c r="I14" s="7">
        <v>3</v>
      </c>
      <c r="J14">
        <f t="shared" ref="J14:T14" si="5">J6</f>
        <v>1.75</v>
      </c>
      <c r="K14">
        <f t="shared" si="5"/>
        <v>3</v>
      </c>
      <c r="L14">
        <f t="shared" si="5"/>
        <v>0</v>
      </c>
      <c r="M14" s="19">
        <v>0</v>
      </c>
      <c r="N14" s="12">
        <v>0.75</v>
      </c>
      <c r="O14">
        <f t="shared" si="5"/>
        <v>0</v>
      </c>
      <c r="P14">
        <f t="shared" si="5"/>
        <v>0</v>
      </c>
      <c r="Q14">
        <f t="shared" si="5"/>
        <v>0</v>
      </c>
      <c r="R14" s="19">
        <v>1.75</v>
      </c>
      <c r="S14">
        <f t="shared" si="5"/>
        <v>4</v>
      </c>
      <c r="T14" s="8">
        <f t="shared" si="5"/>
        <v>4</v>
      </c>
    </row>
    <row r="15" spans="1:20" ht="15" thickBot="1" x14ac:dyDescent="0.35">
      <c r="A15">
        <v>6</v>
      </c>
      <c r="B15" s="22">
        <v>20</v>
      </c>
      <c r="D15" s="19" cm="1">
        <f t="array" ref="D15">SUM(I15:T15*I$17:T$17)</f>
        <v>516.25</v>
      </c>
      <c r="E15" s="14">
        <f t="shared" si="1"/>
        <v>19</v>
      </c>
      <c r="I15" s="9">
        <f t="shared" ref="I15:T15" si="6">I7</f>
        <v>3</v>
      </c>
      <c r="J15" s="10">
        <f t="shared" si="6"/>
        <v>4</v>
      </c>
      <c r="K15" s="10">
        <f t="shared" si="6"/>
        <v>5</v>
      </c>
      <c r="L15" s="10">
        <f t="shared" si="6"/>
        <v>0</v>
      </c>
      <c r="M15" s="10">
        <f t="shared" si="6"/>
        <v>0</v>
      </c>
      <c r="N15" s="10">
        <f t="shared" si="6"/>
        <v>0</v>
      </c>
      <c r="O15" s="10">
        <f t="shared" si="6"/>
        <v>2</v>
      </c>
      <c r="P15" s="10">
        <f t="shared" si="6"/>
        <v>0</v>
      </c>
      <c r="Q15" s="10">
        <f t="shared" si="6"/>
        <v>0</v>
      </c>
      <c r="R15" s="24">
        <v>3.25</v>
      </c>
      <c r="S15" s="10">
        <f t="shared" si="6"/>
        <v>4</v>
      </c>
      <c r="T15" s="11">
        <f t="shared" si="6"/>
        <v>12</v>
      </c>
    </row>
    <row r="16" spans="1:20" x14ac:dyDescent="0.3">
      <c r="B16" t="s">
        <v>20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6031-D880-4241-9EAE-CC8E1BA11453}">
  <dimension ref="A1:T17"/>
  <sheetViews>
    <sheetView workbookViewId="0">
      <selection activeCell="H29" sqref="H29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5</v>
      </c>
      <c r="C2">
        <v>240</v>
      </c>
      <c r="D2">
        <v>332.5</v>
      </c>
      <c r="E2">
        <v>30</v>
      </c>
      <c r="F2">
        <v>553</v>
      </c>
      <c r="G2">
        <v>95.76</v>
      </c>
      <c r="H2">
        <v>2218.2361179999998</v>
      </c>
      <c r="I2">
        <v>0</v>
      </c>
      <c r="J2">
        <v>20.5</v>
      </c>
      <c r="K2">
        <v>3</v>
      </c>
      <c r="L2">
        <v>4</v>
      </c>
      <c r="M2">
        <v>0</v>
      </c>
      <c r="N2">
        <v>0</v>
      </c>
      <c r="O2">
        <v>0.5</v>
      </c>
      <c r="P2">
        <v>0</v>
      </c>
      <c r="Q2">
        <v>0</v>
      </c>
      <c r="R2">
        <v>0</v>
      </c>
      <c r="S2">
        <v>3</v>
      </c>
      <c r="T2">
        <v>6</v>
      </c>
    </row>
    <row r="3" spans="1:20" x14ac:dyDescent="0.3">
      <c r="A3">
        <v>2</v>
      </c>
      <c r="B3">
        <v>11</v>
      </c>
      <c r="C3">
        <v>250</v>
      </c>
      <c r="D3">
        <v>505</v>
      </c>
      <c r="E3">
        <v>19</v>
      </c>
      <c r="F3">
        <v>717</v>
      </c>
      <c r="G3">
        <v>82.64</v>
      </c>
      <c r="H3">
        <v>1611.9121050000001</v>
      </c>
      <c r="I3">
        <v>3</v>
      </c>
      <c r="J3">
        <v>7</v>
      </c>
      <c r="K3">
        <v>3</v>
      </c>
      <c r="L3">
        <v>8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3</v>
      </c>
      <c r="T3">
        <v>14</v>
      </c>
    </row>
    <row r="4" spans="1:20" x14ac:dyDescent="0.3">
      <c r="A4">
        <v>3</v>
      </c>
      <c r="B4">
        <v>6</v>
      </c>
      <c r="C4">
        <v>200</v>
      </c>
      <c r="D4">
        <v>280</v>
      </c>
      <c r="E4">
        <v>35</v>
      </c>
      <c r="F4">
        <v>601</v>
      </c>
      <c r="G4">
        <v>91.92</v>
      </c>
      <c r="H4">
        <v>1317.0192730000001</v>
      </c>
      <c r="I4">
        <v>3</v>
      </c>
      <c r="J4">
        <v>9</v>
      </c>
      <c r="K4">
        <v>2.5</v>
      </c>
      <c r="L4">
        <v>0</v>
      </c>
      <c r="M4">
        <v>0</v>
      </c>
      <c r="N4">
        <v>0</v>
      </c>
      <c r="O4">
        <v>0.5</v>
      </c>
      <c r="P4">
        <v>0</v>
      </c>
      <c r="Q4">
        <v>0</v>
      </c>
      <c r="R4">
        <v>0</v>
      </c>
      <c r="S4">
        <v>3</v>
      </c>
      <c r="T4">
        <v>6</v>
      </c>
    </row>
    <row r="5" spans="1:20" x14ac:dyDescent="0.3">
      <c r="A5">
        <v>4</v>
      </c>
      <c r="B5">
        <v>5</v>
      </c>
      <c r="C5">
        <v>200</v>
      </c>
      <c r="D5">
        <v>255</v>
      </c>
      <c r="E5">
        <v>39</v>
      </c>
      <c r="F5">
        <v>614</v>
      </c>
      <c r="G5">
        <v>90.88000000000001</v>
      </c>
      <c r="H5">
        <v>1198.2430400000001</v>
      </c>
      <c r="I5">
        <v>2</v>
      </c>
      <c r="J5">
        <v>9</v>
      </c>
      <c r="K5">
        <v>3</v>
      </c>
      <c r="L5">
        <v>0</v>
      </c>
      <c r="M5">
        <v>0</v>
      </c>
      <c r="N5">
        <v>0</v>
      </c>
      <c r="O5">
        <v>0.5</v>
      </c>
      <c r="P5">
        <v>0</v>
      </c>
      <c r="Q5">
        <v>0</v>
      </c>
      <c r="R5">
        <v>0</v>
      </c>
      <c r="S5">
        <v>3</v>
      </c>
      <c r="T5">
        <v>5</v>
      </c>
    </row>
    <row r="6" spans="1:20" x14ac:dyDescent="0.3">
      <c r="A6">
        <v>5</v>
      </c>
      <c r="B6">
        <v>5</v>
      </c>
      <c r="C6">
        <v>240</v>
      </c>
      <c r="D6">
        <v>267.5</v>
      </c>
      <c r="E6">
        <v>37</v>
      </c>
      <c r="F6">
        <v>548</v>
      </c>
      <c r="G6">
        <v>96.16</v>
      </c>
      <c r="H6">
        <v>1372.4720520000001</v>
      </c>
      <c r="I6">
        <v>0</v>
      </c>
      <c r="J6">
        <v>9</v>
      </c>
      <c r="K6">
        <v>3</v>
      </c>
      <c r="L6">
        <v>2.5</v>
      </c>
      <c r="M6">
        <v>0</v>
      </c>
      <c r="N6">
        <v>0</v>
      </c>
      <c r="O6">
        <v>0.5</v>
      </c>
      <c r="P6">
        <v>0</v>
      </c>
      <c r="Q6">
        <v>0</v>
      </c>
      <c r="R6">
        <v>0</v>
      </c>
      <c r="S6">
        <v>3</v>
      </c>
      <c r="T6">
        <v>6</v>
      </c>
    </row>
    <row r="7" spans="1:20" x14ac:dyDescent="0.3">
      <c r="A7">
        <v>6</v>
      </c>
      <c r="B7">
        <v>8</v>
      </c>
      <c r="C7">
        <v>300</v>
      </c>
      <c r="D7">
        <v>430</v>
      </c>
      <c r="E7">
        <v>23</v>
      </c>
      <c r="F7">
        <v>635</v>
      </c>
      <c r="G7">
        <v>89.2</v>
      </c>
      <c r="H7">
        <v>1666.5371789999999</v>
      </c>
      <c r="I7">
        <v>0</v>
      </c>
      <c r="J7">
        <v>11</v>
      </c>
      <c r="K7">
        <v>2.5</v>
      </c>
      <c r="L7">
        <v>4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3</v>
      </c>
      <c r="T7">
        <v>12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23">
        <v>6</v>
      </c>
      <c r="D10" s="19" cm="1">
        <f t="array" ref="D10">SUM(I10:T10*I$17:T$17)</f>
        <v>307.5</v>
      </c>
      <c r="E10" s="26">
        <f>MIN(FLOOR(10000/D10,1),40)</f>
        <v>32</v>
      </c>
      <c r="I10" s="4">
        <f>I2</f>
        <v>0</v>
      </c>
      <c r="J10" s="15">
        <v>16.5</v>
      </c>
      <c r="K10" s="5">
        <f t="shared" ref="K10:T10" si="0">K2</f>
        <v>3</v>
      </c>
      <c r="L10" s="15">
        <v>3</v>
      </c>
      <c r="M10" s="5">
        <f t="shared" si="0"/>
        <v>0</v>
      </c>
      <c r="N10" s="5">
        <f t="shared" si="0"/>
        <v>0</v>
      </c>
      <c r="O10" s="5">
        <f t="shared" si="0"/>
        <v>0.5</v>
      </c>
      <c r="P10" s="5">
        <f t="shared" si="0"/>
        <v>0</v>
      </c>
      <c r="Q10" s="5">
        <f t="shared" si="0"/>
        <v>0</v>
      </c>
      <c r="R10" s="5">
        <f t="shared" si="0"/>
        <v>0</v>
      </c>
      <c r="S10" s="5">
        <f t="shared" si="0"/>
        <v>3</v>
      </c>
      <c r="T10" s="6">
        <f t="shared" si="0"/>
        <v>6</v>
      </c>
    </row>
    <row r="11" spans="1:20" x14ac:dyDescent="0.3">
      <c r="A11">
        <v>2</v>
      </c>
      <c r="B11" s="29">
        <v>11</v>
      </c>
      <c r="D11" s="12" cm="1">
        <f t="array" ref="D11">SUM(I11:T11*I$17:T$17)</f>
        <v>540</v>
      </c>
      <c r="E11" s="12">
        <f t="shared" ref="E11:E15" si="1">MIN(FLOOR(10000/D11,1),40)</f>
        <v>18</v>
      </c>
      <c r="I11" s="34">
        <v>8</v>
      </c>
      <c r="J11">
        <f t="shared" ref="J11:T11" si="2">J3</f>
        <v>7</v>
      </c>
      <c r="K11">
        <f t="shared" si="2"/>
        <v>3</v>
      </c>
      <c r="L11" s="19">
        <v>5</v>
      </c>
      <c r="M11">
        <f t="shared" si="2"/>
        <v>0</v>
      </c>
      <c r="N11">
        <f t="shared" si="2"/>
        <v>0</v>
      </c>
      <c r="O11">
        <f t="shared" si="2"/>
        <v>1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3</v>
      </c>
      <c r="T11" s="8">
        <f t="shared" si="2"/>
        <v>14</v>
      </c>
    </row>
    <row r="12" spans="1:20" x14ac:dyDescent="0.3">
      <c r="A12">
        <v>3</v>
      </c>
      <c r="B12" s="29">
        <v>6</v>
      </c>
      <c r="D12" s="14" cm="1">
        <f t="array" ref="D12">SUM(I12:T12*I$17:T$17)</f>
        <v>280</v>
      </c>
      <c r="E12" s="14">
        <f t="shared" si="1"/>
        <v>35</v>
      </c>
      <c r="I12" s="7">
        <f t="shared" ref="I12:T12" si="3">I4</f>
        <v>3</v>
      </c>
      <c r="J12">
        <f t="shared" si="3"/>
        <v>9</v>
      </c>
      <c r="K12">
        <f t="shared" si="3"/>
        <v>2.5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0.5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3</v>
      </c>
      <c r="T12" s="8">
        <f t="shared" si="3"/>
        <v>6</v>
      </c>
    </row>
    <row r="13" spans="1:20" x14ac:dyDescent="0.3">
      <c r="A13">
        <v>4</v>
      </c>
      <c r="B13" s="23">
        <v>6</v>
      </c>
      <c r="D13" s="19" cm="1">
        <f t="array" ref="D13">SUM(I13:T13*I$17:T$17)</f>
        <v>252.5</v>
      </c>
      <c r="E13" s="14">
        <f t="shared" si="1"/>
        <v>39</v>
      </c>
      <c r="I13" s="27">
        <v>1.75</v>
      </c>
      <c r="J13">
        <f t="shared" ref="J13:T13" si="4">J5</f>
        <v>9</v>
      </c>
      <c r="K13">
        <f t="shared" si="4"/>
        <v>3</v>
      </c>
      <c r="L13">
        <f t="shared" si="4"/>
        <v>0</v>
      </c>
      <c r="M13">
        <f t="shared" si="4"/>
        <v>0</v>
      </c>
      <c r="N13">
        <f t="shared" si="4"/>
        <v>0</v>
      </c>
      <c r="O13">
        <f t="shared" si="4"/>
        <v>0.5</v>
      </c>
      <c r="P13">
        <f t="shared" si="4"/>
        <v>0</v>
      </c>
      <c r="Q13">
        <f t="shared" si="4"/>
        <v>0</v>
      </c>
      <c r="R13">
        <f t="shared" si="4"/>
        <v>0</v>
      </c>
      <c r="S13">
        <f t="shared" si="4"/>
        <v>3</v>
      </c>
      <c r="T13" s="8">
        <f t="shared" si="4"/>
        <v>5</v>
      </c>
    </row>
    <row r="14" spans="1:20" x14ac:dyDescent="0.3">
      <c r="A14">
        <v>5</v>
      </c>
      <c r="B14" s="23">
        <v>6</v>
      </c>
      <c r="D14" s="19" cm="1">
        <f t="array" ref="D14">SUM(I14:T14*I$17:T$17)</f>
        <v>261.25</v>
      </c>
      <c r="E14" s="14">
        <f t="shared" si="1"/>
        <v>38</v>
      </c>
      <c r="I14" s="7">
        <f t="shared" ref="I14:T14" si="5">I6</f>
        <v>0</v>
      </c>
      <c r="J14" s="19">
        <v>7.75</v>
      </c>
      <c r="K14">
        <f t="shared" si="5"/>
        <v>3</v>
      </c>
      <c r="L14">
        <f t="shared" si="5"/>
        <v>2.5</v>
      </c>
      <c r="M14">
        <f t="shared" si="5"/>
        <v>0</v>
      </c>
      <c r="N14">
        <f t="shared" si="5"/>
        <v>0</v>
      </c>
      <c r="O14">
        <f t="shared" si="5"/>
        <v>0.5</v>
      </c>
      <c r="P14">
        <f t="shared" si="5"/>
        <v>0</v>
      </c>
      <c r="Q14">
        <f t="shared" si="5"/>
        <v>0</v>
      </c>
      <c r="R14">
        <f t="shared" si="5"/>
        <v>0</v>
      </c>
      <c r="S14">
        <f t="shared" si="5"/>
        <v>3</v>
      </c>
      <c r="T14" s="8">
        <f t="shared" si="5"/>
        <v>6</v>
      </c>
    </row>
    <row r="15" spans="1:20" ht="15" thickBot="1" x14ac:dyDescent="0.35">
      <c r="A15">
        <v>6</v>
      </c>
      <c r="B15" s="22">
        <v>11</v>
      </c>
      <c r="D15" s="14" cm="1">
        <f t="array" ref="D15">SUM(I15:T15*I$17:T$17)</f>
        <v>430</v>
      </c>
      <c r="E15" s="14">
        <f t="shared" si="1"/>
        <v>23</v>
      </c>
      <c r="I15" s="9">
        <f t="shared" ref="I15:T15" si="6">I7</f>
        <v>0</v>
      </c>
      <c r="J15" s="10">
        <f t="shared" si="6"/>
        <v>11</v>
      </c>
      <c r="K15" s="10">
        <f t="shared" si="6"/>
        <v>2.5</v>
      </c>
      <c r="L15" s="10">
        <f t="shared" si="6"/>
        <v>4</v>
      </c>
      <c r="M15" s="10">
        <f t="shared" si="6"/>
        <v>0</v>
      </c>
      <c r="N15" s="10">
        <f t="shared" si="6"/>
        <v>0</v>
      </c>
      <c r="O15" s="10">
        <f t="shared" si="6"/>
        <v>1</v>
      </c>
      <c r="P15" s="10">
        <f t="shared" si="6"/>
        <v>0</v>
      </c>
      <c r="Q15" s="10">
        <f t="shared" si="6"/>
        <v>0</v>
      </c>
      <c r="R15" s="10">
        <f t="shared" si="6"/>
        <v>0</v>
      </c>
      <c r="S15" s="10">
        <f t="shared" si="6"/>
        <v>3</v>
      </c>
      <c r="T15" s="11">
        <f t="shared" si="6"/>
        <v>12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01D4-052A-47C7-8910-A82ED2E1C86E}">
  <dimension ref="A1:T15"/>
  <sheetViews>
    <sheetView workbookViewId="0">
      <selection activeCell="I9" sqref="I9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8</v>
      </c>
      <c r="C2">
        <v>300</v>
      </c>
      <c r="D2">
        <v>637.5</v>
      </c>
      <c r="E2">
        <v>15</v>
      </c>
      <c r="F2">
        <v>804</v>
      </c>
      <c r="G2">
        <v>75.680000000000007</v>
      </c>
      <c r="H2">
        <v>2502.5485560000002</v>
      </c>
      <c r="I2">
        <v>3.75</v>
      </c>
      <c r="J2">
        <v>32</v>
      </c>
      <c r="K2">
        <v>7.5</v>
      </c>
      <c r="L2">
        <v>0</v>
      </c>
      <c r="M2">
        <v>6.5</v>
      </c>
      <c r="N2">
        <v>0.5</v>
      </c>
      <c r="O2">
        <v>0</v>
      </c>
      <c r="P2">
        <v>0</v>
      </c>
      <c r="Q2">
        <v>0</v>
      </c>
      <c r="R2">
        <v>0</v>
      </c>
      <c r="S2">
        <v>4</v>
      </c>
      <c r="T2">
        <v>12</v>
      </c>
    </row>
    <row r="3" spans="1:20" x14ac:dyDescent="0.3">
      <c r="A3">
        <v>2</v>
      </c>
      <c r="B3">
        <v>4</v>
      </c>
      <c r="C3">
        <v>350</v>
      </c>
      <c r="D3">
        <v>283.75</v>
      </c>
      <c r="E3">
        <v>35</v>
      </c>
      <c r="F3">
        <v>611</v>
      </c>
      <c r="G3">
        <v>91.12</v>
      </c>
      <c r="H3">
        <v>1799.119893</v>
      </c>
      <c r="I3">
        <v>3</v>
      </c>
      <c r="J3">
        <v>10.75</v>
      </c>
      <c r="K3">
        <v>2</v>
      </c>
      <c r="L3">
        <v>0</v>
      </c>
      <c r="M3">
        <v>0</v>
      </c>
      <c r="N3">
        <v>0.25</v>
      </c>
      <c r="O3">
        <v>0</v>
      </c>
      <c r="P3">
        <v>0</v>
      </c>
      <c r="Q3">
        <v>0</v>
      </c>
      <c r="R3">
        <v>0</v>
      </c>
      <c r="S3">
        <v>3</v>
      </c>
      <c r="T3">
        <v>7</v>
      </c>
    </row>
    <row r="4" spans="1:20" x14ac:dyDescent="0.3">
      <c r="A4">
        <v>3</v>
      </c>
      <c r="B4">
        <v>8</v>
      </c>
      <c r="C4">
        <v>250</v>
      </c>
      <c r="D4">
        <v>366.25</v>
      </c>
      <c r="E4">
        <v>27</v>
      </c>
      <c r="F4">
        <v>575</v>
      </c>
      <c r="G4">
        <v>94</v>
      </c>
      <c r="H4">
        <v>1418.61403</v>
      </c>
      <c r="I4">
        <v>3</v>
      </c>
      <c r="J4">
        <v>15.75</v>
      </c>
      <c r="K4">
        <v>1.75</v>
      </c>
      <c r="L4">
        <v>0</v>
      </c>
      <c r="M4">
        <v>0</v>
      </c>
      <c r="N4">
        <v>0.25</v>
      </c>
      <c r="O4">
        <v>0</v>
      </c>
      <c r="P4">
        <v>0</v>
      </c>
      <c r="Q4">
        <v>0</v>
      </c>
      <c r="R4">
        <v>0</v>
      </c>
      <c r="S4">
        <v>3</v>
      </c>
      <c r="T4">
        <v>10</v>
      </c>
    </row>
    <row r="5" spans="1:20" x14ac:dyDescent="0.3">
      <c r="A5">
        <v>4</v>
      </c>
      <c r="B5">
        <v>8</v>
      </c>
      <c r="C5">
        <v>300</v>
      </c>
      <c r="D5">
        <v>400</v>
      </c>
      <c r="E5">
        <v>25</v>
      </c>
      <c r="F5">
        <v>612</v>
      </c>
      <c r="G5">
        <v>91.039999999999992</v>
      </c>
      <c r="H5">
        <v>417.071956</v>
      </c>
      <c r="I5">
        <v>3</v>
      </c>
      <c r="J5">
        <v>10</v>
      </c>
      <c r="K5">
        <v>1.75</v>
      </c>
      <c r="L5">
        <v>0</v>
      </c>
      <c r="M5">
        <v>2.25</v>
      </c>
      <c r="N5">
        <v>0.25</v>
      </c>
      <c r="O5">
        <v>0</v>
      </c>
      <c r="P5">
        <v>0</v>
      </c>
      <c r="Q5">
        <v>0</v>
      </c>
      <c r="R5">
        <v>0</v>
      </c>
      <c r="S5">
        <v>3</v>
      </c>
      <c r="T5">
        <v>12</v>
      </c>
    </row>
    <row r="6" spans="1:20" x14ac:dyDescent="0.3">
      <c r="A6">
        <v>5</v>
      </c>
      <c r="B6">
        <v>14</v>
      </c>
      <c r="C6">
        <v>220</v>
      </c>
      <c r="D6">
        <v>521.25</v>
      </c>
      <c r="E6">
        <v>19</v>
      </c>
      <c r="F6">
        <v>739</v>
      </c>
      <c r="G6">
        <v>80.88</v>
      </c>
      <c r="H6">
        <v>1240.0852990000001</v>
      </c>
      <c r="I6">
        <v>6.25</v>
      </c>
      <c r="J6">
        <v>12.25</v>
      </c>
      <c r="K6">
        <v>3.75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16</v>
      </c>
    </row>
    <row r="7" spans="1:20" ht="15" thickBot="1" x14ac:dyDescent="0.35"/>
    <row r="8" spans="1:20" ht="15" thickBot="1" x14ac:dyDescent="0.35">
      <c r="A8" t="s">
        <v>0</v>
      </c>
      <c r="B8" s="1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s="4" t="s">
        <v>8</v>
      </c>
      <c r="J8" s="5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6" t="s">
        <v>19</v>
      </c>
    </row>
    <row r="9" spans="1:20" x14ac:dyDescent="0.3">
      <c r="A9">
        <v>1</v>
      </c>
      <c r="B9" s="23">
        <v>13</v>
      </c>
      <c r="D9" s="12" cm="1">
        <f t="array" ref="D9">SUM(I9:T9*I$15:T$15)</f>
        <v>643.75</v>
      </c>
      <c r="E9" s="14">
        <f>MIN(FLOOR(10000/D9,1),40)</f>
        <v>15</v>
      </c>
      <c r="I9" s="33">
        <v>7</v>
      </c>
      <c r="J9" s="15">
        <f>14.75+12</f>
        <v>26.75</v>
      </c>
      <c r="K9" s="5">
        <f t="shared" ref="K9:T9" si="0">K2</f>
        <v>7.5</v>
      </c>
      <c r="L9" s="5">
        <f t="shared" si="0"/>
        <v>0</v>
      </c>
      <c r="M9" s="5">
        <f t="shared" si="0"/>
        <v>6.5</v>
      </c>
      <c r="N9" s="5">
        <f t="shared" si="0"/>
        <v>0.5</v>
      </c>
      <c r="O9" s="5">
        <f t="shared" si="0"/>
        <v>0</v>
      </c>
      <c r="P9" s="5">
        <f t="shared" si="0"/>
        <v>0</v>
      </c>
      <c r="Q9" s="5">
        <f t="shared" si="0"/>
        <v>0</v>
      </c>
      <c r="R9" s="5">
        <f t="shared" si="0"/>
        <v>0</v>
      </c>
      <c r="S9" s="5">
        <f t="shared" si="0"/>
        <v>4</v>
      </c>
      <c r="T9" s="6">
        <f t="shared" si="0"/>
        <v>12</v>
      </c>
    </row>
    <row r="10" spans="1:20" x14ac:dyDescent="0.3">
      <c r="A10">
        <v>2</v>
      </c>
      <c r="B10" s="29">
        <v>4</v>
      </c>
      <c r="D10" s="12" cm="1">
        <f t="array" ref="D10">SUM(I10:T10*I$15:T$15)</f>
        <v>287.5</v>
      </c>
      <c r="E10" s="12">
        <f t="shared" ref="E10:E13" si="1">MIN(FLOOR(10000/D10,1),40)</f>
        <v>34</v>
      </c>
      <c r="I10" s="7">
        <f t="shared" ref="I10:T13" si="2">I3</f>
        <v>3</v>
      </c>
      <c r="J10" s="12">
        <v>11.5</v>
      </c>
      <c r="K10">
        <f t="shared" si="2"/>
        <v>2</v>
      </c>
      <c r="L10">
        <f t="shared" si="2"/>
        <v>0</v>
      </c>
      <c r="M10">
        <f t="shared" si="2"/>
        <v>0</v>
      </c>
      <c r="N10">
        <f t="shared" si="2"/>
        <v>0.25</v>
      </c>
      <c r="O10">
        <f t="shared" si="2"/>
        <v>0</v>
      </c>
      <c r="P10">
        <f t="shared" si="2"/>
        <v>0</v>
      </c>
      <c r="Q10">
        <f t="shared" si="2"/>
        <v>0</v>
      </c>
      <c r="R10">
        <f t="shared" si="2"/>
        <v>0</v>
      </c>
      <c r="S10">
        <f t="shared" si="2"/>
        <v>3</v>
      </c>
      <c r="T10" s="8">
        <f t="shared" si="2"/>
        <v>7</v>
      </c>
    </row>
    <row r="11" spans="1:20" x14ac:dyDescent="0.3">
      <c r="A11">
        <v>3</v>
      </c>
      <c r="B11" s="23">
        <v>9</v>
      </c>
      <c r="D11" s="19" cm="1">
        <f t="array" ref="D11">SUM(I11:T11*I$15:T$15)</f>
        <v>363.75</v>
      </c>
      <c r="E11" s="14">
        <f t="shared" si="1"/>
        <v>27</v>
      </c>
      <c r="I11" s="27">
        <v>2.75</v>
      </c>
      <c r="J11">
        <f t="shared" si="2"/>
        <v>15.75</v>
      </c>
      <c r="K11">
        <f t="shared" si="2"/>
        <v>1.75</v>
      </c>
      <c r="L11">
        <f t="shared" si="2"/>
        <v>0</v>
      </c>
      <c r="M11">
        <f t="shared" si="2"/>
        <v>0</v>
      </c>
      <c r="N11">
        <f t="shared" si="2"/>
        <v>0.25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3</v>
      </c>
      <c r="T11" s="8">
        <f t="shared" si="2"/>
        <v>10</v>
      </c>
    </row>
    <row r="12" spans="1:20" x14ac:dyDescent="0.3">
      <c r="A12">
        <v>4</v>
      </c>
      <c r="B12" s="29">
        <v>8</v>
      </c>
      <c r="D12" s="19" cm="1">
        <f t="array" ref="D12">SUM(I12:T12*I$15:T$15)</f>
        <v>395</v>
      </c>
      <c r="E12" s="14">
        <f t="shared" si="1"/>
        <v>25</v>
      </c>
      <c r="I12" s="27">
        <v>2.5</v>
      </c>
      <c r="J12">
        <f t="shared" si="2"/>
        <v>10</v>
      </c>
      <c r="K12">
        <f t="shared" si="2"/>
        <v>1.75</v>
      </c>
      <c r="L12">
        <f t="shared" si="2"/>
        <v>0</v>
      </c>
      <c r="M12">
        <f t="shared" si="2"/>
        <v>2.25</v>
      </c>
      <c r="N12">
        <f t="shared" si="2"/>
        <v>0.25</v>
      </c>
      <c r="O12">
        <f t="shared" si="2"/>
        <v>0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3</v>
      </c>
      <c r="T12" s="8">
        <f t="shared" si="2"/>
        <v>12</v>
      </c>
    </row>
    <row r="13" spans="1:20" ht="15" thickBot="1" x14ac:dyDescent="0.35">
      <c r="A13">
        <v>5</v>
      </c>
      <c r="B13" s="22">
        <v>15</v>
      </c>
      <c r="D13" s="19" cm="1">
        <f t="array" ref="D13">SUM(I13:T13*I$15:T$15)</f>
        <v>515</v>
      </c>
      <c r="E13" s="14">
        <f t="shared" si="1"/>
        <v>19</v>
      </c>
      <c r="I13" s="28">
        <v>6</v>
      </c>
      <c r="J13" s="24">
        <v>12</v>
      </c>
      <c r="K13" s="24">
        <v>3.5</v>
      </c>
      <c r="L13" s="10">
        <f t="shared" si="2"/>
        <v>0</v>
      </c>
      <c r="M13" s="10">
        <f t="shared" si="2"/>
        <v>1</v>
      </c>
      <c r="N13" s="10">
        <f t="shared" si="2"/>
        <v>0</v>
      </c>
      <c r="O13" s="10">
        <f t="shared" si="2"/>
        <v>0</v>
      </c>
      <c r="P13" s="10">
        <f t="shared" si="2"/>
        <v>0</v>
      </c>
      <c r="Q13" s="10">
        <f t="shared" si="2"/>
        <v>0</v>
      </c>
      <c r="R13" s="10">
        <f t="shared" si="2"/>
        <v>0</v>
      </c>
      <c r="S13" s="10">
        <f t="shared" si="2"/>
        <v>3</v>
      </c>
      <c r="T13" s="11">
        <f t="shared" si="2"/>
        <v>16</v>
      </c>
    </row>
    <row r="15" spans="1:20" x14ac:dyDescent="0.3">
      <c r="I15">
        <v>10</v>
      </c>
      <c r="J15">
        <v>5</v>
      </c>
      <c r="K15">
        <v>10</v>
      </c>
      <c r="L15">
        <v>5</v>
      </c>
      <c r="M15">
        <v>10</v>
      </c>
      <c r="N15">
        <v>40</v>
      </c>
      <c r="O15">
        <v>60</v>
      </c>
      <c r="P15">
        <v>20</v>
      </c>
      <c r="Q15">
        <v>50</v>
      </c>
      <c r="R15">
        <v>5</v>
      </c>
      <c r="S15">
        <v>10</v>
      </c>
      <c r="T15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405C-E60B-40DB-9FCE-1A9EC4F6F823}">
  <dimension ref="A1:T13"/>
  <sheetViews>
    <sheetView zoomScale="67" workbookViewId="0">
      <selection activeCell="H27" sqref="H27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9</v>
      </c>
      <c r="C2">
        <v>260</v>
      </c>
      <c r="D2">
        <v>402.5</v>
      </c>
      <c r="E2">
        <v>24</v>
      </c>
      <c r="F2">
        <v>614</v>
      </c>
      <c r="G2">
        <v>90.88000000000001</v>
      </c>
      <c r="H2">
        <v>116.98612900000001</v>
      </c>
      <c r="I2">
        <v>5</v>
      </c>
      <c r="J2">
        <v>0</v>
      </c>
      <c r="K2">
        <v>2.5</v>
      </c>
      <c r="L2">
        <v>0</v>
      </c>
      <c r="M2">
        <v>0</v>
      </c>
      <c r="N2">
        <v>1.25</v>
      </c>
      <c r="O2">
        <v>0</v>
      </c>
      <c r="P2">
        <v>0</v>
      </c>
      <c r="Q2">
        <v>0</v>
      </c>
      <c r="R2">
        <v>1.5</v>
      </c>
      <c r="S2">
        <v>3</v>
      </c>
      <c r="T2">
        <v>12</v>
      </c>
    </row>
    <row r="3" spans="1:20" x14ac:dyDescent="0.3">
      <c r="A3">
        <v>2</v>
      </c>
      <c r="B3">
        <v>14</v>
      </c>
      <c r="C3">
        <v>280</v>
      </c>
      <c r="D3">
        <v>600</v>
      </c>
      <c r="E3">
        <v>16</v>
      </c>
      <c r="F3">
        <v>774</v>
      </c>
      <c r="G3">
        <v>78.08</v>
      </c>
      <c r="H3">
        <v>1993.244809</v>
      </c>
      <c r="I3">
        <v>7</v>
      </c>
      <c r="J3">
        <v>0</v>
      </c>
      <c r="K3">
        <v>1</v>
      </c>
      <c r="L3">
        <v>0</v>
      </c>
      <c r="M3">
        <v>0</v>
      </c>
      <c r="N3">
        <v>0</v>
      </c>
      <c r="O3">
        <v>1.5</v>
      </c>
      <c r="P3">
        <v>0</v>
      </c>
      <c r="Q3">
        <v>0</v>
      </c>
      <c r="R3">
        <v>0</v>
      </c>
      <c r="S3">
        <v>3</v>
      </c>
      <c r="T3">
        <v>20</v>
      </c>
    </row>
    <row r="4" spans="1:20" x14ac:dyDescent="0.3">
      <c r="A4">
        <v>3</v>
      </c>
      <c r="B4">
        <v>9</v>
      </c>
      <c r="C4">
        <v>260</v>
      </c>
      <c r="D4">
        <v>380</v>
      </c>
      <c r="E4">
        <v>26</v>
      </c>
      <c r="F4">
        <v>574</v>
      </c>
      <c r="G4">
        <v>94.08</v>
      </c>
      <c r="H4">
        <v>2446.2688589999998</v>
      </c>
      <c r="I4">
        <v>0</v>
      </c>
      <c r="J4">
        <v>0</v>
      </c>
      <c r="K4">
        <v>0.5</v>
      </c>
      <c r="L4">
        <v>3.5</v>
      </c>
      <c r="M4">
        <v>0</v>
      </c>
      <c r="N4">
        <v>1.5</v>
      </c>
      <c r="O4">
        <v>0</v>
      </c>
      <c r="P4">
        <v>1</v>
      </c>
      <c r="Q4">
        <v>0</v>
      </c>
      <c r="R4">
        <v>1.5</v>
      </c>
      <c r="S4">
        <v>3</v>
      </c>
      <c r="T4">
        <v>12</v>
      </c>
    </row>
    <row r="5" spans="1:20" x14ac:dyDescent="0.3">
      <c r="A5">
        <v>4</v>
      </c>
      <c r="B5">
        <v>6</v>
      </c>
      <c r="C5">
        <v>200</v>
      </c>
      <c r="D5">
        <v>250</v>
      </c>
      <c r="E5">
        <v>40</v>
      </c>
      <c r="F5">
        <v>623</v>
      </c>
      <c r="G5">
        <v>90.16</v>
      </c>
      <c r="H5">
        <v>192.61784399999999</v>
      </c>
      <c r="I5">
        <v>0</v>
      </c>
      <c r="J5">
        <v>5</v>
      </c>
      <c r="K5">
        <v>2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5</v>
      </c>
      <c r="S5">
        <v>4</v>
      </c>
      <c r="T5">
        <v>6</v>
      </c>
    </row>
    <row r="6" spans="1:20" ht="15" thickBot="1" x14ac:dyDescent="0.35"/>
    <row r="7" spans="1:20" ht="15" thickBot="1" x14ac:dyDescent="0.35">
      <c r="A7" t="s">
        <v>0</v>
      </c>
      <c r="B7" s="1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s="4" t="s">
        <v>8</v>
      </c>
      <c r="J7" s="5" t="s">
        <v>9</v>
      </c>
      <c r="K7" s="5" t="s">
        <v>10</v>
      </c>
      <c r="L7" s="5" t="s">
        <v>11</v>
      </c>
      <c r="M7" s="5" t="s">
        <v>12</v>
      </c>
      <c r="N7" s="5" t="s">
        <v>13</v>
      </c>
      <c r="O7" s="5" t="s">
        <v>14</v>
      </c>
      <c r="P7" s="5" t="s">
        <v>15</v>
      </c>
      <c r="Q7" s="5" t="s">
        <v>16</v>
      </c>
      <c r="R7" s="5" t="s">
        <v>17</v>
      </c>
      <c r="S7" s="5" t="s">
        <v>18</v>
      </c>
      <c r="T7" s="6" t="s">
        <v>19</v>
      </c>
    </row>
    <row r="8" spans="1:20" x14ac:dyDescent="0.3">
      <c r="A8">
        <v>1</v>
      </c>
      <c r="B8" s="29">
        <v>9</v>
      </c>
      <c r="D8" s="12" cm="1">
        <f t="array" ref="D8">SUM(I8:T8*I$13:T$13)</f>
        <v>403.75</v>
      </c>
      <c r="E8" s="14">
        <f>MIN(FLOOR(10000/D8,1),40)</f>
        <v>24</v>
      </c>
      <c r="I8" s="4">
        <f t="shared" ref="I8:Q8" si="0">I2</f>
        <v>5</v>
      </c>
      <c r="J8" s="5">
        <f t="shared" si="0"/>
        <v>0</v>
      </c>
      <c r="K8" s="5">
        <f t="shared" si="0"/>
        <v>2.5</v>
      </c>
      <c r="L8" s="5">
        <f t="shared" si="0"/>
        <v>0</v>
      </c>
      <c r="M8" s="5">
        <f t="shared" si="0"/>
        <v>0</v>
      </c>
      <c r="N8" s="5">
        <f t="shared" si="0"/>
        <v>1.25</v>
      </c>
      <c r="O8" s="5">
        <f t="shared" si="0"/>
        <v>0</v>
      </c>
      <c r="P8" s="5">
        <f t="shared" si="0"/>
        <v>0</v>
      </c>
      <c r="Q8" s="5">
        <f t="shared" si="0"/>
        <v>0</v>
      </c>
      <c r="R8" s="20">
        <v>1.75</v>
      </c>
      <c r="S8" s="5">
        <f>S2</f>
        <v>3</v>
      </c>
      <c r="T8" s="6">
        <f>T2</f>
        <v>12</v>
      </c>
    </row>
    <row r="9" spans="1:20" x14ac:dyDescent="0.3">
      <c r="A9">
        <v>2</v>
      </c>
      <c r="B9" s="16">
        <v>15</v>
      </c>
      <c r="D9" s="14" cm="1">
        <f t="array" ref="D9">SUM(I9:T9*I$13:T$13)</f>
        <v>600</v>
      </c>
      <c r="E9" s="14">
        <f t="shared" ref="E9:E11" si="1">MIN(FLOOR(10000/D9,1),40)</f>
        <v>16</v>
      </c>
      <c r="I9" s="7">
        <f t="shared" ref="I9:T11" si="2">I3</f>
        <v>7</v>
      </c>
      <c r="J9">
        <f t="shared" si="2"/>
        <v>0</v>
      </c>
      <c r="K9">
        <f t="shared" si="2"/>
        <v>1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1.5</v>
      </c>
      <c r="P9">
        <f t="shared" si="2"/>
        <v>0</v>
      </c>
      <c r="Q9">
        <f t="shared" si="2"/>
        <v>0</v>
      </c>
      <c r="R9">
        <f t="shared" si="2"/>
        <v>0</v>
      </c>
      <c r="S9">
        <f t="shared" si="2"/>
        <v>3</v>
      </c>
      <c r="T9" s="8">
        <f t="shared" si="2"/>
        <v>20</v>
      </c>
    </row>
    <row r="10" spans="1:20" x14ac:dyDescent="0.3">
      <c r="A10">
        <v>3</v>
      </c>
      <c r="B10" s="29">
        <v>9</v>
      </c>
      <c r="D10" s="19" cm="1">
        <f t="array" ref="D10">SUM(I10:T10*I$13:T$13)</f>
        <v>367.5</v>
      </c>
      <c r="E10" s="19">
        <f t="shared" si="1"/>
        <v>27</v>
      </c>
      <c r="I10" s="7">
        <f t="shared" si="2"/>
        <v>0</v>
      </c>
      <c r="J10">
        <f t="shared" si="2"/>
        <v>0</v>
      </c>
      <c r="K10">
        <f t="shared" si="2"/>
        <v>0.5</v>
      </c>
      <c r="L10" s="12">
        <v>3.75</v>
      </c>
      <c r="M10">
        <f t="shared" si="2"/>
        <v>0</v>
      </c>
      <c r="N10">
        <f t="shared" si="2"/>
        <v>1.5</v>
      </c>
      <c r="O10">
        <f t="shared" si="2"/>
        <v>0</v>
      </c>
      <c r="P10" s="19">
        <v>0.25</v>
      </c>
      <c r="Q10">
        <f t="shared" si="2"/>
        <v>0</v>
      </c>
      <c r="R10" s="12">
        <v>1.75</v>
      </c>
      <c r="S10">
        <f t="shared" si="2"/>
        <v>3</v>
      </c>
      <c r="T10" s="8">
        <f t="shared" si="2"/>
        <v>12</v>
      </c>
    </row>
    <row r="11" spans="1:20" ht="15" thickBot="1" x14ac:dyDescent="0.35">
      <c r="A11">
        <v>4</v>
      </c>
      <c r="B11" s="30">
        <v>6</v>
      </c>
      <c r="D11" s="14" cm="1">
        <f t="array" ref="D11">SUM(I11:T11*I$13:T$13)</f>
        <v>250</v>
      </c>
      <c r="E11" s="14">
        <f t="shared" si="1"/>
        <v>40</v>
      </c>
      <c r="I11" s="9">
        <f t="shared" si="2"/>
        <v>0</v>
      </c>
      <c r="J11" s="10">
        <f t="shared" si="2"/>
        <v>5</v>
      </c>
      <c r="K11" s="10">
        <f t="shared" si="2"/>
        <v>2</v>
      </c>
      <c r="L11" s="10">
        <f t="shared" si="2"/>
        <v>0</v>
      </c>
      <c r="M11" s="10">
        <f t="shared" si="2"/>
        <v>0</v>
      </c>
      <c r="N11" s="10">
        <f t="shared" si="2"/>
        <v>0</v>
      </c>
      <c r="O11" s="10">
        <f t="shared" si="2"/>
        <v>0</v>
      </c>
      <c r="P11" s="10">
        <f t="shared" si="2"/>
        <v>1</v>
      </c>
      <c r="Q11" s="10">
        <f t="shared" si="2"/>
        <v>0</v>
      </c>
      <c r="R11" s="10">
        <f t="shared" si="2"/>
        <v>5</v>
      </c>
      <c r="S11" s="10">
        <f t="shared" si="2"/>
        <v>4</v>
      </c>
      <c r="T11" s="11">
        <f t="shared" si="2"/>
        <v>6</v>
      </c>
    </row>
    <row r="13" spans="1:20" x14ac:dyDescent="0.3">
      <c r="I13">
        <v>10</v>
      </c>
      <c r="J13">
        <v>5</v>
      </c>
      <c r="K13">
        <v>10</v>
      </c>
      <c r="L13">
        <v>5</v>
      </c>
      <c r="M13">
        <v>10</v>
      </c>
      <c r="N13">
        <v>40</v>
      </c>
      <c r="O13">
        <v>60</v>
      </c>
      <c r="P13">
        <v>20</v>
      </c>
      <c r="Q13">
        <v>50</v>
      </c>
      <c r="R13">
        <v>5</v>
      </c>
      <c r="S13">
        <v>10</v>
      </c>
      <c r="T13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23F5-6D8A-43B8-B9D3-019E1BCAA865}">
  <dimension ref="A1:T17"/>
  <sheetViews>
    <sheetView tabSelected="1" topLeftCell="B3" workbookViewId="0">
      <selection activeCell="I15" sqref="I15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4</v>
      </c>
      <c r="C2">
        <v>200</v>
      </c>
      <c r="D2">
        <v>450</v>
      </c>
      <c r="E2">
        <v>22</v>
      </c>
      <c r="F2">
        <v>736</v>
      </c>
      <c r="G2">
        <v>81.12</v>
      </c>
      <c r="H2">
        <v>1763.281522</v>
      </c>
      <c r="I2">
        <v>10</v>
      </c>
      <c r="J2">
        <v>12</v>
      </c>
      <c r="K2">
        <v>7</v>
      </c>
      <c r="L2">
        <v>0</v>
      </c>
      <c r="M2">
        <v>6</v>
      </c>
      <c r="N2">
        <v>1</v>
      </c>
      <c r="O2">
        <v>0</v>
      </c>
      <c r="P2">
        <v>0</v>
      </c>
      <c r="Q2">
        <v>0</v>
      </c>
      <c r="R2">
        <v>0</v>
      </c>
      <c r="S2">
        <v>4</v>
      </c>
      <c r="T2">
        <v>4</v>
      </c>
    </row>
    <row r="3" spans="1:20" x14ac:dyDescent="0.3">
      <c r="A3">
        <v>2</v>
      </c>
      <c r="B3">
        <v>12</v>
      </c>
      <c r="C3">
        <v>200</v>
      </c>
      <c r="D3">
        <v>480</v>
      </c>
      <c r="E3">
        <v>20</v>
      </c>
      <c r="F3">
        <v>768</v>
      </c>
      <c r="G3">
        <v>78.56</v>
      </c>
      <c r="H3">
        <v>1756.6507919999999</v>
      </c>
      <c r="I3">
        <v>6</v>
      </c>
      <c r="J3">
        <v>0</v>
      </c>
      <c r="K3">
        <v>4</v>
      </c>
      <c r="L3">
        <v>0</v>
      </c>
      <c r="M3">
        <v>3</v>
      </c>
      <c r="N3">
        <v>2</v>
      </c>
      <c r="O3">
        <v>0</v>
      </c>
      <c r="P3">
        <v>0</v>
      </c>
      <c r="Q3">
        <v>0</v>
      </c>
      <c r="R3">
        <v>0</v>
      </c>
      <c r="S3">
        <v>3</v>
      </c>
      <c r="T3">
        <v>12</v>
      </c>
    </row>
    <row r="4" spans="1:20" x14ac:dyDescent="0.3">
      <c r="A4">
        <v>3</v>
      </c>
      <c r="B4">
        <v>8</v>
      </c>
      <c r="C4">
        <v>300</v>
      </c>
      <c r="D4">
        <v>452.5</v>
      </c>
      <c r="E4">
        <v>22</v>
      </c>
      <c r="F4">
        <v>635</v>
      </c>
      <c r="G4">
        <v>89.2</v>
      </c>
      <c r="H4">
        <v>1625.698022</v>
      </c>
      <c r="I4">
        <v>3</v>
      </c>
      <c r="J4">
        <v>6</v>
      </c>
      <c r="K4">
        <v>4</v>
      </c>
      <c r="L4">
        <v>0</v>
      </c>
      <c r="M4">
        <v>2.25</v>
      </c>
      <c r="N4">
        <v>1.5</v>
      </c>
      <c r="O4">
        <v>0</v>
      </c>
      <c r="P4">
        <v>0</v>
      </c>
      <c r="Q4">
        <v>0</v>
      </c>
      <c r="R4">
        <v>0</v>
      </c>
      <c r="S4">
        <v>3</v>
      </c>
      <c r="T4">
        <v>12</v>
      </c>
    </row>
    <row r="5" spans="1:20" x14ac:dyDescent="0.3">
      <c r="A5">
        <v>4</v>
      </c>
      <c r="B5">
        <v>9</v>
      </c>
      <c r="C5">
        <v>260</v>
      </c>
      <c r="D5">
        <v>417.5</v>
      </c>
      <c r="E5">
        <v>23</v>
      </c>
      <c r="F5">
        <v>557</v>
      </c>
      <c r="G5">
        <v>95.44</v>
      </c>
      <c r="H5">
        <v>1151.6562879999999</v>
      </c>
      <c r="I5" s="32">
        <v>3</v>
      </c>
      <c r="J5" s="32">
        <v>5</v>
      </c>
      <c r="K5" s="32">
        <v>4</v>
      </c>
      <c r="L5" s="32">
        <v>0</v>
      </c>
      <c r="M5" s="32">
        <v>2.25</v>
      </c>
      <c r="N5" s="32">
        <v>1.5</v>
      </c>
      <c r="O5" s="32">
        <v>0</v>
      </c>
      <c r="P5" s="32">
        <v>0</v>
      </c>
      <c r="Q5" s="32">
        <v>0</v>
      </c>
      <c r="R5" s="32">
        <v>0</v>
      </c>
      <c r="S5" s="32">
        <v>3</v>
      </c>
      <c r="T5" s="32">
        <v>12</v>
      </c>
    </row>
    <row r="6" spans="1:20" x14ac:dyDescent="0.3">
      <c r="A6">
        <v>5</v>
      </c>
      <c r="B6">
        <v>9</v>
      </c>
      <c r="C6">
        <v>310</v>
      </c>
      <c r="D6">
        <v>492.5</v>
      </c>
      <c r="E6">
        <v>20</v>
      </c>
      <c r="F6">
        <v>615</v>
      </c>
      <c r="G6">
        <v>90.8</v>
      </c>
      <c r="H6">
        <v>1044.523336</v>
      </c>
      <c r="I6">
        <v>3.5</v>
      </c>
      <c r="J6">
        <v>5</v>
      </c>
      <c r="K6">
        <v>4</v>
      </c>
      <c r="L6">
        <v>0</v>
      </c>
      <c r="M6">
        <v>2.25</v>
      </c>
      <c r="N6">
        <v>1.5</v>
      </c>
      <c r="O6">
        <v>0</v>
      </c>
      <c r="P6">
        <v>0</v>
      </c>
      <c r="Q6">
        <v>0</v>
      </c>
      <c r="R6">
        <v>0</v>
      </c>
      <c r="S6">
        <v>3</v>
      </c>
      <c r="T6">
        <v>14</v>
      </c>
    </row>
    <row r="7" spans="1:20" x14ac:dyDescent="0.3">
      <c r="A7">
        <v>6</v>
      </c>
      <c r="B7">
        <v>9</v>
      </c>
      <c r="C7">
        <v>260</v>
      </c>
      <c r="D7">
        <v>447.5</v>
      </c>
      <c r="E7">
        <v>22</v>
      </c>
      <c r="F7">
        <v>671</v>
      </c>
      <c r="G7">
        <v>86.32</v>
      </c>
      <c r="H7">
        <v>743.56851500000005</v>
      </c>
      <c r="I7" s="35">
        <v>3</v>
      </c>
      <c r="J7" s="35">
        <v>5</v>
      </c>
      <c r="K7" s="35">
        <v>4</v>
      </c>
      <c r="L7" s="35">
        <v>0</v>
      </c>
      <c r="M7" s="35">
        <v>0</v>
      </c>
      <c r="N7" s="35">
        <v>1.5</v>
      </c>
      <c r="O7" s="35">
        <v>0</v>
      </c>
      <c r="P7" s="35">
        <v>0</v>
      </c>
      <c r="Q7" s="35">
        <v>0</v>
      </c>
      <c r="R7" s="35">
        <v>2.25</v>
      </c>
      <c r="S7" s="35">
        <v>3</v>
      </c>
      <c r="T7" s="35">
        <v>12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29">
        <v>6</v>
      </c>
      <c r="D10" s="19" cm="1">
        <f t="array" ref="D10">SUM(I10:T10*I$17:T$17)</f>
        <v>380</v>
      </c>
      <c r="E10" s="19">
        <f>MIN(FLOOR(10000/D10,1),40)</f>
        <v>26</v>
      </c>
      <c r="I10" s="31">
        <v>9</v>
      </c>
      <c r="J10" s="15">
        <v>0</v>
      </c>
      <c r="K10" s="5">
        <f t="shared" ref="K10:T10" si="0">K2</f>
        <v>7</v>
      </c>
      <c r="L10" s="5">
        <f t="shared" si="0"/>
        <v>0</v>
      </c>
      <c r="M10" s="5">
        <f t="shared" si="0"/>
        <v>6</v>
      </c>
      <c r="N10" s="5">
        <f t="shared" si="0"/>
        <v>1</v>
      </c>
      <c r="O10" s="5">
        <f t="shared" si="0"/>
        <v>0</v>
      </c>
      <c r="P10" s="5">
        <f t="shared" si="0"/>
        <v>0</v>
      </c>
      <c r="Q10" s="5">
        <f t="shared" si="0"/>
        <v>0</v>
      </c>
      <c r="R10" s="5">
        <f t="shared" si="0"/>
        <v>0</v>
      </c>
      <c r="S10" s="5">
        <f t="shared" si="0"/>
        <v>4</v>
      </c>
      <c r="T10" s="6">
        <f t="shared" si="0"/>
        <v>4</v>
      </c>
    </row>
    <row r="11" spans="1:20" x14ac:dyDescent="0.3">
      <c r="A11">
        <v>2</v>
      </c>
      <c r="B11" s="16">
        <v>12</v>
      </c>
      <c r="D11" s="19" cm="1">
        <f t="array" ref="D11">SUM(I11:T11*I$17:T$17)</f>
        <v>472.5</v>
      </c>
      <c r="E11" s="19">
        <f t="shared" ref="E11:E15" si="1">MIN(FLOOR(10000/D11,1),40)</f>
        <v>21</v>
      </c>
      <c r="I11" s="7">
        <f t="shared" ref="I11:T11" si="2">I3</f>
        <v>6</v>
      </c>
      <c r="J11">
        <f t="shared" si="2"/>
        <v>0</v>
      </c>
      <c r="K11">
        <f t="shared" si="2"/>
        <v>4</v>
      </c>
      <c r="L11">
        <f t="shared" si="2"/>
        <v>0</v>
      </c>
      <c r="M11" s="19">
        <f>1.5*1.5</f>
        <v>2.25</v>
      </c>
      <c r="N11">
        <f t="shared" si="2"/>
        <v>2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3</v>
      </c>
      <c r="T11" s="8">
        <f t="shared" si="2"/>
        <v>12</v>
      </c>
    </row>
    <row r="12" spans="1:20" x14ac:dyDescent="0.3">
      <c r="A12">
        <v>3</v>
      </c>
      <c r="B12" s="16">
        <v>9</v>
      </c>
      <c r="D12" s="14" cm="1">
        <f t="array" ref="D12">SUM(I12:T12*I$17:T$17)</f>
        <v>452.5</v>
      </c>
      <c r="E12" s="14">
        <f t="shared" si="1"/>
        <v>22</v>
      </c>
      <c r="I12" s="7">
        <f t="shared" ref="I12:T12" si="3">I4</f>
        <v>3</v>
      </c>
      <c r="J12">
        <f t="shared" si="3"/>
        <v>6</v>
      </c>
      <c r="K12">
        <f t="shared" si="3"/>
        <v>4</v>
      </c>
      <c r="L12">
        <f t="shared" si="3"/>
        <v>0</v>
      </c>
      <c r="M12">
        <f t="shared" si="3"/>
        <v>2.25</v>
      </c>
      <c r="N12">
        <f t="shared" si="3"/>
        <v>1.5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3</v>
      </c>
      <c r="T12" s="8">
        <f t="shared" si="3"/>
        <v>12</v>
      </c>
    </row>
    <row r="13" spans="1:20" x14ac:dyDescent="0.3">
      <c r="A13">
        <v>4</v>
      </c>
      <c r="B13" s="29">
        <v>9</v>
      </c>
      <c r="D13" s="12" cm="1">
        <f t="array" ref="D13">SUM(I13:T13*I$17:T$17)</f>
        <v>447.5</v>
      </c>
      <c r="E13" s="12">
        <f t="shared" si="1"/>
        <v>22</v>
      </c>
      <c r="I13" s="7">
        <f t="shared" ref="I13:T13" si="4">I5</f>
        <v>3</v>
      </c>
      <c r="J13">
        <f t="shared" si="4"/>
        <v>5</v>
      </c>
      <c r="K13">
        <f t="shared" si="4"/>
        <v>4</v>
      </c>
      <c r="L13">
        <f t="shared" si="4"/>
        <v>0</v>
      </c>
      <c r="M13">
        <f t="shared" si="4"/>
        <v>2.25</v>
      </c>
      <c r="N13">
        <f t="shared" si="4"/>
        <v>1.5</v>
      </c>
      <c r="O13">
        <f t="shared" si="4"/>
        <v>0</v>
      </c>
      <c r="P13">
        <f t="shared" si="4"/>
        <v>0</v>
      </c>
      <c r="Q13">
        <f t="shared" si="4"/>
        <v>0</v>
      </c>
      <c r="R13">
        <f t="shared" si="4"/>
        <v>0</v>
      </c>
      <c r="S13">
        <f t="shared" si="4"/>
        <v>3</v>
      </c>
      <c r="T13" s="8">
        <f t="shared" si="4"/>
        <v>12</v>
      </c>
    </row>
    <row r="14" spans="1:20" x14ac:dyDescent="0.3">
      <c r="A14">
        <v>5</v>
      </c>
      <c r="B14" s="29">
        <v>9</v>
      </c>
      <c r="D14" s="14" cm="1">
        <f t="array" ref="D14">SUM(I14:T14*I$17:T$17)</f>
        <v>492.5</v>
      </c>
      <c r="E14" s="14">
        <f t="shared" si="1"/>
        <v>20</v>
      </c>
      <c r="I14" s="7">
        <f t="shared" ref="I14:T14" si="5">I6</f>
        <v>3.5</v>
      </c>
      <c r="J14">
        <f t="shared" si="5"/>
        <v>5</v>
      </c>
      <c r="K14">
        <f t="shared" si="5"/>
        <v>4</v>
      </c>
      <c r="L14">
        <f t="shared" si="5"/>
        <v>0</v>
      </c>
      <c r="M14">
        <f t="shared" si="5"/>
        <v>2.25</v>
      </c>
      <c r="N14">
        <f t="shared" si="5"/>
        <v>1.5</v>
      </c>
      <c r="O14">
        <f t="shared" si="5"/>
        <v>0</v>
      </c>
      <c r="P14">
        <f t="shared" si="5"/>
        <v>0</v>
      </c>
      <c r="Q14">
        <f t="shared" si="5"/>
        <v>0</v>
      </c>
      <c r="R14">
        <f t="shared" si="5"/>
        <v>0</v>
      </c>
      <c r="S14">
        <f t="shared" si="5"/>
        <v>3</v>
      </c>
      <c r="T14" s="8">
        <f t="shared" si="5"/>
        <v>14</v>
      </c>
    </row>
    <row r="15" spans="1:20" ht="15" thickBot="1" x14ac:dyDescent="0.35">
      <c r="A15">
        <v>6</v>
      </c>
      <c r="B15" s="30">
        <v>9</v>
      </c>
      <c r="D15" s="19" cm="1">
        <f t="array" ref="D15">SUM(I15:T15*I$17:T$17)</f>
        <v>446.25</v>
      </c>
      <c r="E15" s="14">
        <f t="shared" si="1"/>
        <v>22</v>
      </c>
      <c r="I15" s="9">
        <f t="shared" ref="I15:T15" si="6">I7</f>
        <v>3</v>
      </c>
      <c r="J15" s="10">
        <f t="shared" si="6"/>
        <v>5</v>
      </c>
      <c r="K15" s="10">
        <f t="shared" si="6"/>
        <v>4</v>
      </c>
      <c r="L15" s="10">
        <f t="shared" si="6"/>
        <v>0</v>
      </c>
      <c r="M15" s="24">
        <v>0</v>
      </c>
      <c r="N15" s="13">
        <v>1.75</v>
      </c>
      <c r="O15" s="10">
        <f t="shared" si="6"/>
        <v>0</v>
      </c>
      <c r="P15" s="10">
        <f t="shared" si="6"/>
        <v>0</v>
      </c>
      <c r="Q15" s="10">
        <f t="shared" si="6"/>
        <v>0</v>
      </c>
      <c r="R15" s="13">
        <v>2.25</v>
      </c>
      <c r="S15" s="10">
        <f t="shared" si="6"/>
        <v>3</v>
      </c>
      <c r="T15" s="11">
        <f t="shared" si="6"/>
        <v>12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5E85-4F25-4F97-8216-627935215A2A}">
  <dimension ref="A1:T17"/>
  <sheetViews>
    <sheetView zoomScale="68" workbookViewId="0">
      <selection activeCell="A9" sqref="A9:XFD9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10</v>
      </c>
      <c r="C2">
        <v>200</v>
      </c>
      <c r="D2">
        <v>365</v>
      </c>
      <c r="E2">
        <v>27</v>
      </c>
      <c r="F2">
        <v>668</v>
      </c>
      <c r="G2">
        <v>86.56</v>
      </c>
      <c r="H2">
        <v>1202.4652149999999</v>
      </c>
      <c r="I2">
        <v>0</v>
      </c>
      <c r="J2">
        <v>13.25</v>
      </c>
      <c r="K2">
        <v>4</v>
      </c>
      <c r="L2">
        <v>3.75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</v>
      </c>
      <c r="T2">
        <v>10</v>
      </c>
    </row>
    <row r="3" spans="1:20" x14ac:dyDescent="0.3">
      <c r="A3">
        <v>2</v>
      </c>
      <c r="B3">
        <v>12</v>
      </c>
      <c r="C3">
        <v>210</v>
      </c>
      <c r="D3">
        <v>430</v>
      </c>
      <c r="E3">
        <v>23</v>
      </c>
      <c r="F3">
        <v>702</v>
      </c>
      <c r="G3">
        <v>83.84</v>
      </c>
      <c r="H3">
        <v>1650.070518</v>
      </c>
      <c r="I3">
        <v>0</v>
      </c>
      <c r="J3">
        <v>14</v>
      </c>
      <c r="K3">
        <v>4</v>
      </c>
      <c r="L3">
        <v>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</v>
      </c>
      <c r="T3">
        <v>13</v>
      </c>
    </row>
    <row r="4" spans="1:20" x14ac:dyDescent="0.3">
      <c r="A4">
        <v>3</v>
      </c>
      <c r="B4">
        <v>10</v>
      </c>
      <c r="C4">
        <v>220</v>
      </c>
      <c r="D4">
        <v>350</v>
      </c>
      <c r="E4">
        <v>28</v>
      </c>
      <c r="F4">
        <v>626</v>
      </c>
      <c r="G4">
        <v>89.92</v>
      </c>
      <c r="H4">
        <v>2275.4200169999999</v>
      </c>
      <c r="I4">
        <v>4</v>
      </c>
      <c r="J4">
        <v>6.5</v>
      </c>
      <c r="K4">
        <v>2.75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11</v>
      </c>
    </row>
    <row r="5" spans="1:20" x14ac:dyDescent="0.3">
      <c r="A5">
        <v>4</v>
      </c>
      <c r="B5">
        <v>12</v>
      </c>
      <c r="C5">
        <v>200</v>
      </c>
      <c r="D5">
        <v>357.5</v>
      </c>
      <c r="E5">
        <v>27</v>
      </c>
      <c r="F5">
        <v>668</v>
      </c>
      <c r="G5">
        <v>86.56</v>
      </c>
      <c r="H5">
        <v>1510.7473600000001</v>
      </c>
      <c r="I5">
        <v>3</v>
      </c>
      <c r="J5">
        <v>5.5</v>
      </c>
      <c r="K5">
        <v>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12</v>
      </c>
    </row>
    <row r="6" spans="1:20" x14ac:dyDescent="0.3">
      <c r="A6">
        <v>5</v>
      </c>
      <c r="B6">
        <v>7</v>
      </c>
      <c r="C6">
        <v>280</v>
      </c>
      <c r="D6">
        <v>305</v>
      </c>
      <c r="E6">
        <v>32</v>
      </c>
      <c r="F6">
        <v>540</v>
      </c>
      <c r="G6">
        <v>96.8</v>
      </c>
      <c r="H6">
        <v>445.86462899999998</v>
      </c>
      <c r="I6">
        <v>2.5</v>
      </c>
      <c r="J6">
        <v>4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10</v>
      </c>
    </row>
    <row r="7" spans="1:20" x14ac:dyDescent="0.3">
      <c r="A7">
        <v>6</v>
      </c>
      <c r="B7">
        <v>7</v>
      </c>
      <c r="C7">
        <v>280</v>
      </c>
      <c r="D7">
        <v>306.25</v>
      </c>
      <c r="E7">
        <v>32</v>
      </c>
      <c r="F7">
        <v>540</v>
      </c>
      <c r="G7">
        <v>96.8</v>
      </c>
      <c r="H7">
        <v>1098.314216</v>
      </c>
      <c r="I7">
        <v>2.5</v>
      </c>
      <c r="J7">
        <v>4.25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10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29">
        <v>10</v>
      </c>
      <c r="D10" s="19" cm="1">
        <f t="array" ref="D10">SUM(I10:T10*I$17:T$17)</f>
        <v>363.75</v>
      </c>
      <c r="E10" s="14">
        <f>MIN(FLOOR(10000/D10,1),40)</f>
        <v>27</v>
      </c>
      <c r="I10" s="4">
        <f>I2</f>
        <v>0</v>
      </c>
      <c r="J10" s="5">
        <f>J2</f>
        <v>13.25</v>
      </c>
      <c r="K10" s="5">
        <f>K2</f>
        <v>4</v>
      </c>
      <c r="L10" s="15">
        <v>3.5</v>
      </c>
      <c r="M10" s="5">
        <f t="shared" ref="M10:T10" si="0">M2</f>
        <v>0</v>
      </c>
      <c r="N10" s="5">
        <f t="shared" si="0"/>
        <v>0</v>
      </c>
      <c r="O10" s="5">
        <f t="shared" si="0"/>
        <v>0</v>
      </c>
      <c r="P10" s="5">
        <f t="shared" si="0"/>
        <v>0</v>
      </c>
      <c r="Q10" s="5">
        <f t="shared" si="0"/>
        <v>0</v>
      </c>
      <c r="R10" s="5">
        <f t="shared" si="0"/>
        <v>0</v>
      </c>
      <c r="S10" s="5">
        <f t="shared" si="0"/>
        <v>4</v>
      </c>
      <c r="T10" s="6">
        <f t="shared" si="0"/>
        <v>10</v>
      </c>
    </row>
    <row r="11" spans="1:20" x14ac:dyDescent="0.3">
      <c r="A11">
        <v>2</v>
      </c>
      <c r="B11" s="29">
        <v>12</v>
      </c>
      <c r="D11" s="19" cm="1">
        <f t="array" ref="D11">SUM(I11:T11*I$17:T$17)</f>
        <v>426.25</v>
      </c>
      <c r="E11" s="14">
        <f t="shared" ref="E11:E15" si="1">MIN(FLOOR(10000/D11,1),40)</f>
        <v>23</v>
      </c>
      <c r="I11" s="7">
        <f t="shared" ref="I11:T15" si="2">I3</f>
        <v>0</v>
      </c>
      <c r="J11" s="19">
        <v>13.5</v>
      </c>
      <c r="K11">
        <f t="shared" si="2"/>
        <v>4</v>
      </c>
      <c r="L11" s="19">
        <v>3.75</v>
      </c>
      <c r="M11">
        <f t="shared" si="2"/>
        <v>0</v>
      </c>
      <c r="N11">
        <f t="shared" si="2"/>
        <v>0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4</v>
      </c>
      <c r="T11" s="8">
        <f t="shared" si="2"/>
        <v>13</v>
      </c>
    </row>
    <row r="12" spans="1:20" x14ac:dyDescent="0.3">
      <c r="A12">
        <v>3</v>
      </c>
      <c r="B12" s="29">
        <v>10</v>
      </c>
      <c r="D12" s="14" cm="1">
        <f t="array" ref="D12">SUM(I12:T12*I$17:T$17)</f>
        <v>350</v>
      </c>
      <c r="E12" s="14">
        <f t="shared" si="1"/>
        <v>28</v>
      </c>
      <c r="I12" s="7">
        <f t="shared" si="2"/>
        <v>4</v>
      </c>
      <c r="J12">
        <f t="shared" si="2"/>
        <v>6.5</v>
      </c>
      <c r="K12">
        <f t="shared" si="2"/>
        <v>2.75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3</v>
      </c>
      <c r="T12" s="8">
        <f t="shared" si="2"/>
        <v>11</v>
      </c>
    </row>
    <row r="13" spans="1:20" x14ac:dyDescent="0.3">
      <c r="A13">
        <v>4</v>
      </c>
      <c r="B13" s="29">
        <v>12</v>
      </c>
      <c r="D13" s="14" cm="1">
        <f t="array" ref="D13">SUM(I13:T13*I$17:T$17)</f>
        <v>357.5</v>
      </c>
      <c r="E13" s="14">
        <f t="shared" si="1"/>
        <v>27</v>
      </c>
      <c r="I13" s="7">
        <f t="shared" si="2"/>
        <v>3</v>
      </c>
      <c r="J13">
        <f t="shared" si="2"/>
        <v>5.5</v>
      </c>
      <c r="K13">
        <f t="shared" si="2"/>
        <v>3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3</v>
      </c>
      <c r="T13" s="8">
        <f t="shared" si="2"/>
        <v>12</v>
      </c>
    </row>
    <row r="14" spans="1:20" x14ac:dyDescent="0.3">
      <c r="A14">
        <v>5</v>
      </c>
      <c r="B14" s="29">
        <v>7</v>
      </c>
      <c r="D14" s="19" cm="1">
        <f t="array" ref="D14">SUM(I14:T14*I$17:T$17)</f>
        <v>300</v>
      </c>
      <c r="E14" s="26">
        <f t="shared" si="1"/>
        <v>33</v>
      </c>
      <c r="I14" s="27">
        <v>2.25</v>
      </c>
      <c r="J14" s="19">
        <v>3.5</v>
      </c>
      <c r="K14">
        <f t="shared" si="2"/>
        <v>3</v>
      </c>
      <c r="L14">
        <f t="shared" si="2"/>
        <v>0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3</v>
      </c>
      <c r="T14" s="8">
        <f t="shared" si="2"/>
        <v>10</v>
      </c>
    </row>
    <row r="15" spans="1:20" ht="15" thickBot="1" x14ac:dyDescent="0.35">
      <c r="A15">
        <v>6</v>
      </c>
      <c r="B15" s="30">
        <v>7</v>
      </c>
      <c r="D15" s="19" cm="1">
        <f t="array" ref="D15">SUM(I15:T15*I$17:T$17)</f>
        <v>303.75</v>
      </c>
      <c r="E15" s="14">
        <f t="shared" si="1"/>
        <v>32</v>
      </c>
      <c r="I15" s="28">
        <v>2.25</v>
      </c>
      <c r="J15" s="10">
        <f t="shared" si="2"/>
        <v>4.25</v>
      </c>
      <c r="K15" s="10">
        <f t="shared" si="2"/>
        <v>3</v>
      </c>
      <c r="L15" s="10">
        <f t="shared" si="2"/>
        <v>0</v>
      </c>
      <c r="M15" s="10">
        <f t="shared" si="2"/>
        <v>0</v>
      </c>
      <c r="N15" s="10">
        <f t="shared" si="2"/>
        <v>0</v>
      </c>
      <c r="O15" s="10">
        <f t="shared" si="2"/>
        <v>0</v>
      </c>
      <c r="P15" s="10">
        <f t="shared" si="2"/>
        <v>0</v>
      </c>
      <c r="Q15" s="10">
        <f t="shared" si="2"/>
        <v>0</v>
      </c>
      <c r="R15" s="10">
        <f t="shared" si="2"/>
        <v>0</v>
      </c>
      <c r="S15" s="10">
        <f t="shared" si="2"/>
        <v>3</v>
      </c>
      <c r="T15" s="11">
        <f t="shared" si="2"/>
        <v>10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01A71-9575-4A28-9232-FDF18F0C7EED}">
  <dimension ref="A1:T17"/>
  <sheetViews>
    <sheetView workbookViewId="0">
      <selection activeCell="B13" activeCellId="1" sqref="B11 B13:B15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8</v>
      </c>
      <c r="C2">
        <v>200</v>
      </c>
      <c r="D2">
        <v>570</v>
      </c>
      <c r="E2">
        <v>17</v>
      </c>
      <c r="F2">
        <v>810</v>
      </c>
      <c r="G2">
        <v>75.2</v>
      </c>
      <c r="H2">
        <v>2621.7436539999999</v>
      </c>
      <c r="I2">
        <v>0</v>
      </c>
      <c r="J2">
        <v>6</v>
      </c>
      <c r="K2">
        <v>23</v>
      </c>
      <c r="L2">
        <v>10</v>
      </c>
      <c r="M2">
        <v>0</v>
      </c>
      <c r="N2">
        <v>0</v>
      </c>
      <c r="O2">
        <v>0</v>
      </c>
      <c r="P2">
        <v>0</v>
      </c>
      <c r="Q2">
        <v>0</v>
      </c>
      <c r="R2">
        <v>12</v>
      </c>
      <c r="S2">
        <v>4</v>
      </c>
      <c r="T2">
        <v>8</v>
      </c>
    </row>
    <row r="3" spans="1:20" x14ac:dyDescent="0.3">
      <c r="A3">
        <v>2</v>
      </c>
      <c r="B3">
        <v>11</v>
      </c>
      <c r="C3">
        <v>320</v>
      </c>
      <c r="D3">
        <v>555</v>
      </c>
      <c r="E3">
        <v>18</v>
      </c>
      <c r="F3">
        <v>658</v>
      </c>
      <c r="G3">
        <v>87.36</v>
      </c>
      <c r="H3">
        <v>1196.300872</v>
      </c>
      <c r="I3">
        <v>0</v>
      </c>
      <c r="J3">
        <v>6</v>
      </c>
      <c r="K3">
        <v>4</v>
      </c>
      <c r="L3">
        <v>5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4</v>
      </c>
      <c r="T3">
        <v>18</v>
      </c>
    </row>
    <row r="4" spans="1:20" x14ac:dyDescent="0.3">
      <c r="A4">
        <v>3</v>
      </c>
      <c r="B4">
        <v>14</v>
      </c>
      <c r="C4">
        <v>280</v>
      </c>
      <c r="D4">
        <v>630</v>
      </c>
      <c r="E4">
        <v>15</v>
      </c>
      <c r="F4">
        <v>784</v>
      </c>
      <c r="G4">
        <v>77.279999999999987</v>
      </c>
      <c r="H4">
        <v>1251.1629820000001</v>
      </c>
      <c r="I4">
        <v>0</v>
      </c>
      <c r="J4">
        <v>7</v>
      </c>
      <c r="K4">
        <v>0</v>
      </c>
      <c r="L4">
        <v>7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4</v>
      </c>
      <c r="T4">
        <v>20</v>
      </c>
    </row>
    <row r="5" spans="1:20" x14ac:dyDescent="0.3">
      <c r="A5">
        <v>4</v>
      </c>
      <c r="B5">
        <v>4</v>
      </c>
      <c r="C5">
        <v>350</v>
      </c>
      <c r="D5">
        <v>257.5</v>
      </c>
      <c r="E5">
        <v>38</v>
      </c>
      <c r="F5">
        <v>608</v>
      </c>
      <c r="G5">
        <v>91.36</v>
      </c>
      <c r="H5">
        <v>999.79790100000002</v>
      </c>
      <c r="I5">
        <v>2</v>
      </c>
      <c r="J5">
        <v>0</v>
      </c>
      <c r="K5">
        <v>2</v>
      </c>
      <c r="L5">
        <v>2.5</v>
      </c>
      <c r="M5">
        <v>2.5</v>
      </c>
      <c r="N5">
        <v>0</v>
      </c>
      <c r="O5">
        <v>0</v>
      </c>
      <c r="P5">
        <v>0</v>
      </c>
      <c r="Q5">
        <v>0</v>
      </c>
      <c r="R5">
        <v>0</v>
      </c>
      <c r="S5">
        <v>4</v>
      </c>
      <c r="T5">
        <v>7</v>
      </c>
    </row>
    <row r="6" spans="1:20" x14ac:dyDescent="0.3">
      <c r="A6">
        <v>5</v>
      </c>
      <c r="B6">
        <v>4</v>
      </c>
      <c r="C6">
        <v>350</v>
      </c>
      <c r="D6">
        <v>250</v>
      </c>
      <c r="E6">
        <v>40</v>
      </c>
      <c r="F6">
        <v>610</v>
      </c>
      <c r="G6">
        <v>91.2</v>
      </c>
      <c r="H6">
        <v>1645.42913</v>
      </c>
      <c r="I6">
        <v>0</v>
      </c>
      <c r="J6">
        <v>4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4</v>
      </c>
      <c r="S6">
        <v>4</v>
      </c>
      <c r="T6">
        <v>7</v>
      </c>
    </row>
    <row r="7" spans="1:20" x14ac:dyDescent="0.3">
      <c r="A7">
        <v>6</v>
      </c>
      <c r="B7">
        <v>9</v>
      </c>
      <c r="C7">
        <v>330</v>
      </c>
      <c r="D7">
        <v>445</v>
      </c>
      <c r="E7">
        <v>22</v>
      </c>
      <c r="F7">
        <v>577</v>
      </c>
      <c r="G7">
        <v>93.84</v>
      </c>
      <c r="H7">
        <v>1334.44064</v>
      </c>
      <c r="I7">
        <v>0</v>
      </c>
      <c r="J7">
        <v>5</v>
      </c>
      <c r="K7">
        <v>2</v>
      </c>
      <c r="L7">
        <v>0</v>
      </c>
      <c r="M7">
        <v>6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15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23">
        <v>9</v>
      </c>
      <c r="D10" s="19" cm="1">
        <f t="array" ref="D10">SUM(I10:T10*I$17:T$17)</f>
        <v>545</v>
      </c>
      <c r="E10" s="26">
        <f>MIN(FLOOR(10000/D10,1),40)</f>
        <v>18</v>
      </c>
      <c r="I10" s="4">
        <f>I2</f>
        <v>0</v>
      </c>
      <c r="J10" s="5">
        <f t="shared" ref="J10:T10" si="0">J2</f>
        <v>6</v>
      </c>
      <c r="K10" s="15">
        <f>3.75+3.5+3.5+4+7</f>
        <v>21.75</v>
      </c>
      <c r="L10" s="15">
        <v>7.5</v>
      </c>
      <c r="M10" s="5">
        <f t="shared" si="0"/>
        <v>0</v>
      </c>
      <c r="N10" s="5">
        <f t="shared" si="0"/>
        <v>0</v>
      </c>
      <c r="O10" s="5">
        <f t="shared" si="0"/>
        <v>0</v>
      </c>
      <c r="P10" s="5">
        <f t="shared" si="0"/>
        <v>0</v>
      </c>
      <c r="Q10" s="5">
        <f t="shared" si="0"/>
        <v>0</v>
      </c>
      <c r="R10" s="5">
        <f t="shared" si="0"/>
        <v>12</v>
      </c>
      <c r="S10" s="5">
        <f t="shared" si="0"/>
        <v>4</v>
      </c>
      <c r="T10" s="6">
        <f t="shared" si="0"/>
        <v>8</v>
      </c>
    </row>
    <row r="11" spans="1:20" x14ac:dyDescent="0.3">
      <c r="A11">
        <v>2</v>
      </c>
      <c r="B11" s="29">
        <v>11</v>
      </c>
      <c r="D11" s="12" cm="1">
        <f t="array" ref="D11">SUM(I11:T11*I$17:T$17)</f>
        <v>565</v>
      </c>
      <c r="E11" s="12">
        <f t="shared" ref="E11:E15" si="1">MIN(FLOOR(10000/D11,1),40)</f>
        <v>17</v>
      </c>
      <c r="I11" s="7">
        <f t="shared" ref="I11:T15" si="2">I3</f>
        <v>0</v>
      </c>
      <c r="J11" s="19">
        <v>5</v>
      </c>
      <c r="K11" s="12">
        <v>5.5</v>
      </c>
      <c r="L11">
        <f t="shared" si="2"/>
        <v>5</v>
      </c>
      <c r="M11">
        <f t="shared" si="2"/>
        <v>0</v>
      </c>
      <c r="N11">
        <f t="shared" si="2"/>
        <v>0</v>
      </c>
      <c r="O11">
        <f t="shared" si="2"/>
        <v>1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4</v>
      </c>
      <c r="T11" s="8">
        <f t="shared" si="2"/>
        <v>18</v>
      </c>
    </row>
    <row r="12" spans="1:20" x14ac:dyDescent="0.3">
      <c r="A12">
        <v>3</v>
      </c>
      <c r="B12" s="23">
        <v>16</v>
      </c>
      <c r="D12" s="12" cm="1">
        <f t="array" ref="D12">SUM(I12:T12*I$17:T$17)</f>
        <v>640</v>
      </c>
      <c r="E12" s="14">
        <f t="shared" si="1"/>
        <v>15</v>
      </c>
      <c r="I12" s="7">
        <f t="shared" si="2"/>
        <v>0</v>
      </c>
      <c r="J12">
        <f t="shared" si="2"/>
        <v>7</v>
      </c>
      <c r="K12" s="12">
        <v>4.5</v>
      </c>
      <c r="L12" s="19">
        <v>6</v>
      </c>
      <c r="M12">
        <f t="shared" si="2"/>
        <v>0</v>
      </c>
      <c r="N12" s="19">
        <f>3*0.75</f>
        <v>2.25</v>
      </c>
      <c r="O12">
        <f t="shared" si="2"/>
        <v>0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4</v>
      </c>
      <c r="T12" s="8">
        <f t="shared" si="2"/>
        <v>20</v>
      </c>
    </row>
    <row r="13" spans="1:20" x14ac:dyDescent="0.3">
      <c r="A13">
        <v>4</v>
      </c>
      <c r="B13" s="29">
        <v>4</v>
      </c>
      <c r="D13" s="19" cm="1">
        <f t="array" ref="D13">SUM(I13:T13*I$17:T$17)</f>
        <v>240</v>
      </c>
      <c r="E13" s="26">
        <f t="shared" si="1"/>
        <v>40</v>
      </c>
      <c r="I13" s="27">
        <v>0</v>
      </c>
      <c r="J13" s="12">
        <v>1</v>
      </c>
      <c r="K13">
        <f t="shared" si="2"/>
        <v>2</v>
      </c>
      <c r="L13" s="19">
        <v>2</v>
      </c>
      <c r="M13">
        <f t="shared" si="2"/>
        <v>2.5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4</v>
      </c>
      <c r="T13" s="8">
        <f t="shared" si="2"/>
        <v>7</v>
      </c>
    </row>
    <row r="14" spans="1:20" x14ac:dyDescent="0.3">
      <c r="A14">
        <v>5</v>
      </c>
      <c r="B14" s="29">
        <v>4</v>
      </c>
      <c r="D14" s="19" cm="1">
        <f t="array" ref="D14">SUM(I14:T14*I$17:T$17)</f>
        <v>248.75</v>
      </c>
      <c r="E14" s="14">
        <f t="shared" si="1"/>
        <v>40</v>
      </c>
      <c r="I14" s="7">
        <f t="shared" si="2"/>
        <v>0</v>
      </c>
      <c r="J14" s="19">
        <f>1.5+1.75</f>
        <v>3.25</v>
      </c>
      <c r="K14">
        <f t="shared" si="2"/>
        <v>2</v>
      </c>
      <c r="L14" s="12">
        <v>2.5</v>
      </c>
      <c r="M14">
        <f t="shared" si="2"/>
        <v>0</v>
      </c>
      <c r="N14">
        <f t="shared" si="2"/>
        <v>0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4</v>
      </c>
      <c r="S14">
        <f t="shared" si="2"/>
        <v>4</v>
      </c>
      <c r="T14" s="8">
        <f t="shared" si="2"/>
        <v>7</v>
      </c>
    </row>
    <row r="15" spans="1:20" ht="15" thickBot="1" x14ac:dyDescent="0.35">
      <c r="A15">
        <v>6</v>
      </c>
      <c r="B15" s="30">
        <v>9</v>
      </c>
      <c r="D15" s="12" cm="1">
        <f t="array" ref="D15">SUM(I15:T15*I$17:T$17)</f>
        <v>450</v>
      </c>
      <c r="E15" s="14">
        <f t="shared" si="1"/>
        <v>22</v>
      </c>
      <c r="I15" s="9">
        <f t="shared" si="2"/>
        <v>0</v>
      </c>
      <c r="J15" s="24">
        <v>4.5</v>
      </c>
      <c r="K15" s="13">
        <v>2.5</v>
      </c>
      <c r="L15" s="10">
        <f t="shared" si="2"/>
        <v>0</v>
      </c>
      <c r="M15" s="13">
        <v>6.25</v>
      </c>
      <c r="N15" s="10">
        <f t="shared" si="2"/>
        <v>0</v>
      </c>
      <c r="O15" s="10">
        <f t="shared" si="2"/>
        <v>0</v>
      </c>
      <c r="P15" s="10">
        <f t="shared" si="2"/>
        <v>0</v>
      </c>
      <c r="Q15" s="10">
        <f t="shared" si="2"/>
        <v>0</v>
      </c>
      <c r="R15" s="10">
        <f t="shared" si="2"/>
        <v>0</v>
      </c>
      <c r="S15" s="10">
        <f t="shared" si="2"/>
        <v>4</v>
      </c>
      <c r="T15" s="11">
        <f t="shared" si="2"/>
        <v>15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AF18-8C95-40A8-BE16-9D5E0F8D9178}">
  <dimension ref="A1:T17"/>
  <sheetViews>
    <sheetView topLeftCell="B1" workbookViewId="0">
      <selection activeCell="B14" sqref="B14:B15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8</v>
      </c>
      <c r="C2">
        <v>250</v>
      </c>
      <c r="D2">
        <v>745</v>
      </c>
      <c r="E2">
        <v>13</v>
      </c>
      <c r="F2">
        <v>882</v>
      </c>
      <c r="G2">
        <v>69.44</v>
      </c>
      <c r="H2">
        <v>124.816265</v>
      </c>
      <c r="I2">
        <v>9</v>
      </c>
      <c r="J2">
        <v>10</v>
      </c>
      <c r="K2">
        <v>6</v>
      </c>
      <c r="L2">
        <v>3</v>
      </c>
      <c r="M2">
        <v>0</v>
      </c>
      <c r="N2">
        <v>0</v>
      </c>
      <c r="O2">
        <v>4</v>
      </c>
      <c r="P2">
        <v>0</v>
      </c>
      <c r="Q2">
        <v>1</v>
      </c>
      <c r="R2">
        <v>0</v>
      </c>
      <c r="S2">
        <v>4</v>
      </c>
      <c r="T2">
        <v>10</v>
      </c>
    </row>
    <row r="3" spans="1:20" x14ac:dyDescent="0.3">
      <c r="A3">
        <v>2</v>
      </c>
      <c r="B3">
        <v>9</v>
      </c>
      <c r="C3">
        <v>350</v>
      </c>
      <c r="D3">
        <v>745</v>
      </c>
      <c r="E3">
        <v>13</v>
      </c>
      <c r="F3">
        <v>836</v>
      </c>
      <c r="G3">
        <v>73.12</v>
      </c>
      <c r="H3">
        <v>1311.1427550000001</v>
      </c>
      <c r="I3">
        <v>6</v>
      </c>
      <c r="J3">
        <v>9</v>
      </c>
      <c r="K3">
        <v>0</v>
      </c>
      <c r="L3">
        <v>0</v>
      </c>
      <c r="M3">
        <v>0</v>
      </c>
      <c r="N3">
        <v>0</v>
      </c>
      <c r="O3">
        <v>4</v>
      </c>
      <c r="P3">
        <v>0</v>
      </c>
      <c r="Q3">
        <v>1</v>
      </c>
      <c r="R3">
        <v>0</v>
      </c>
      <c r="S3">
        <v>3</v>
      </c>
      <c r="T3">
        <v>16</v>
      </c>
    </row>
    <row r="4" spans="1:20" x14ac:dyDescent="0.3">
      <c r="A4">
        <v>3</v>
      </c>
      <c r="B4">
        <v>5</v>
      </c>
      <c r="C4">
        <v>280</v>
      </c>
      <c r="D4">
        <v>370</v>
      </c>
      <c r="E4">
        <v>27</v>
      </c>
      <c r="F4">
        <v>578</v>
      </c>
      <c r="G4">
        <v>93.76</v>
      </c>
      <c r="H4">
        <v>1241.4684319999999</v>
      </c>
      <c r="I4">
        <v>2.5</v>
      </c>
      <c r="J4">
        <v>5</v>
      </c>
      <c r="K4">
        <v>5</v>
      </c>
      <c r="L4">
        <v>0</v>
      </c>
      <c r="M4">
        <v>3</v>
      </c>
      <c r="N4">
        <v>0</v>
      </c>
      <c r="O4">
        <v>1</v>
      </c>
      <c r="P4">
        <v>0</v>
      </c>
      <c r="Q4">
        <v>0</v>
      </c>
      <c r="R4">
        <v>0</v>
      </c>
      <c r="S4">
        <v>4</v>
      </c>
      <c r="T4">
        <v>7</v>
      </c>
    </row>
    <row r="5" spans="1:20" x14ac:dyDescent="0.3">
      <c r="A5">
        <v>4</v>
      </c>
      <c r="B5">
        <v>5</v>
      </c>
      <c r="C5">
        <v>320</v>
      </c>
      <c r="D5">
        <v>332.5</v>
      </c>
      <c r="E5">
        <v>30</v>
      </c>
      <c r="F5">
        <v>596</v>
      </c>
      <c r="G5">
        <v>92.320000000000007</v>
      </c>
      <c r="H5">
        <v>1644.1648029999999</v>
      </c>
      <c r="I5">
        <v>0</v>
      </c>
      <c r="J5">
        <v>4.5</v>
      </c>
      <c r="K5">
        <v>4</v>
      </c>
      <c r="L5">
        <v>3</v>
      </c>
      <c r="M5">
        <v>1.5</v>
      </c>
      <c r="N5">
        <v>1</v>
      </c>
      <c r="O5">
        <v>0</v>
      </c>
      <c r="P5">
        <v>0</v>
      </c>
      <c r="Q5">
        <v>0</v>
      </c>
      <c r="R5">
        <v>0</v>
      </c>
      <c r="S5">
        <v>4</v>
      </c>
      <c r="T5">
        <v>8</v>
      </c>
    </row>
    <row r="6" spans="1:20" x14ac:dyDescent="0.3">
      <c r="A6">
        <v>5</v>
      </c>
      <c r="B6">
        <v>6</v>
      </c>
      <c r="C6">
        <v>300</v>
      </c>
      <c r="D6">
        <v>335</v>
      </c>
      <c r="E6">
        <v>29</v>
      </c>
      <c r="F6">
        <v>566</v>
      </c>
      <c r="G6">
        <v>94.72</v>
      </c>
      <c r="H6">
        <v>897.65779499999996</v>
      </c>
      <c r="I6">
        <v>0</v>
      </c>
      <c r="J6">
        <v>7</v>
      </c>
      <c r="K6">
        <v>2</v>
      </c>
      <c r="L6">
        <v>4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3</v>
      </c>
      <c r="T6">
        <v>9</v>
      </c>
    </row>
    <row r="7" spans="1:20" x14ac:dyDescent="0.3">
      <c r="A7">
        <v>6</v>
      </c>
      <c r="B7">
        <v>6</v>
      </c>
      <c r="C7">
        <v>330</v>
      </c>
      <c r="D7">
        <v>355</v>
      </c>
      <c r="E7">
        <v>28</v>
      </c>
      <c r="F7">
        <v>577</v>
      </c>
      <c r="G7">
        <v>93.84</v>
      </c>
      <c r="H7">
        <v>837.78577900000005</v>
      </c>
      <c r="I7">
        <v>0</v>
      </c>
      <c r="J7">
        <v>7</v>
      </c>
      <c r="K7">
        <v>2</v>
      </c>
      <c r="L7">
        <v>4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3</v>
      </c>
      <c r="T7">
        <v>10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23">
        <v>21</v>
      </c>
      <c r="D10" s="19" cm="1">
        <f t="array" ref="D10">SUM(I10:T10*I$17:T$17)</f>
        <v>695</v>
      </c>
      <c r="E10" s="26">
        <f>MIN(FLOOR(10000/D10,1),40)</f>
        <v>14</v>
      </c>
      <c r="I10" s="4">
        <f>I2</f>
        <v>9</v>
      </c>
      <c r="J10" s="20">
        <v>11.5</v>
      </c>
      <c r="K10" s="5">
        <f t="shared" ref="K10:T10" si="0">K2</f>
        <v>6</v>
      </c>
      <c r="L10" s="20">
        <v>3.5</v>
      </c>
      <c r="M10" s="5">
        <f t="shared" si="0"/>
        <v>0</v>
      </c>
      <c r="N10" s="5">
        <f t="shared" si="0"/>
        <v>0</v>
      </c>
      <c r="O10" s="15">
        <f>0.75*4</f>
        <v>3</v>
      </c>
      <c r="P10" s="5">
        <f t="shared" si="0"/>
        <v>0</v>
      </c>
      <c r="Q10" s="5">
        <f t="shared" si="0"/>
        <v>1</v>
      </c>
      <c r="R10" s="5">
        <f t="shared" si="0"/>
        <v>0</v>
      </c>
      <c r="S10" s="5">
        <f t="shared" si="0"/>
        <v>4</v>
      </c>
      <c r="T10" s="6">
        <f t="shared" si="0"/>
        <v>10</v>
      </c>
    </row>
    <row r="11" spans="1:20" x14ac:dyDescent="0.3">
      <c r="A11">
        <v>2</v>
      </c>
      <c r="B11" s="23">
        <v>24</v>
      </c>
      <c r="D11" s="19" cm="1">
        <f t="array" ref="D11">SUM(I11:T11*I$17:T$17)</f>
        <v>720</v>
      </c>
      <c r="E11" s="14">
        <f t="shared" ref="E11:E15" si="1">MIN(FLOOR(10000/D11,1),40)</f>
        <v>13</v>
      </c>
      <c r="I11" s="7">
        <f t="shared" ref="I11:T15" si="2">I3</f>
        <v>6</v>
      </c>
      <c r="J11" s="12">
        <v>10</v>
      </c>
      <c r="K11" s="12">
        <v>3</v>
      </c>
      <c r="L11">
        <f t="shared" si="2"/>
        <v>0</v>
      </c>
      <c r="M11">
        <f t="shared" si="2"/>
        <v>0</v>
      </c>
      <c r="N11">
        <f t="shared" si="2"/>
        <v>0</v>
      </c>
      <c r="O11" s="19">
        <v>3</v>
      </c>
      <c r="P11">
        <f t="shared" si="2"/>
        <v>0</v>
      </c>
      <c r="Q11">
        <f t="shared" si="2"/>
        <v>1</v>
      </c>
      <c r="R11">
        <f t="shared" si="2"/>
        <v>0</v>
      </c>
      <c r="S11">
        <f t="shared" si="2"/>
        <v>3</v>
      </c>
      <c r="T11" s="8">
        <f t="shared" si="2"/>
        <v>16</v>
      </c>
    </row>
    <row r="12" spans="1:20" x14ac:dyDescent="0.3">
      <c r="A12">
        <v>3</v>
      </c>
      <c r="B12" s="23">
        <v>6</v>
      </c>
      <c r="D12" s="19" cm="1">
        <f t="array" ref="D12">SUM(I12:T12*I$17:T$17)</f>
        <v>337.5</v>
      </c>
      <c r="E12" s="26">
        <f t="shared" si="1"/>
        <v>29</v>
      </c>
      <c r="I12" s="7">
        <f t="shared" si="2"/>
        <v>2.5</v>
      </c>
      <c r="J12">
        <f t="shared" si="2"/>
        <v>5</v>
      </c>
      <c r="K12" s="19">
        <v>4.5</v>
      </c>
      <c r="L12">
        <f t="shared" si="2"/>
        <v>0</v>
      </c>
      <c r="M12" s="19">
        <f>1.5*1.5</f>
        <v>2.25</v>
      </c>
      <c r="N12" s="12">
        <v>1</v>
      </c>
      <c r="O12" s="19">
        <v>0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4</v>
      </c>
      <c r="T12" s="8">
        <f t="shared" si="2"/>
        <v>7</v>
      </c>
    </row>
    <row r="13" spans="1:20" x14ac:dyDescent="0.3">
      <c r="A13">
        <v>4</v>
      </c>
      <c r="B13" s="23">
        <v>6</v>
      </c>
      <c r="D13" s="12" cm="1">
        <f t="array" ref="D13">SUM(I13:T13*I$17:T$17)</f>
        <v>338.75</v>
      </c>
      <c r="E13" s="12">
        <f t="shared" si="1"/>
        <v>29</v>
      </c>
      <c r="I13" s="7">
        <f t="shared" si="2"/>
        <v>0</v>
      </c>
      <c r="J13">
        <f t="shared" si="2"/>
        <v>4.5</v>
      </c>
      <c r="K13">
        <f t="shared" si="2"/>
        <v>4</v>
      </c>
      <c r="L13" s="12">
        <v>3.5</v>
      </c>
      <c r="M13" s="12">
        <f>1.25*1.5</f>
        <v>1.875</v>
      </c>
      <c r="N13">
        <f t="shared" si="2"/>
        <v>1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0</v>
      </c>
      <c r="S13">
        <f t="shared" si="2"/>
        <v>4</v>
      </c>
      <c r="T13" s="8">
        <f t="shared" si="2"/>
        <v>8</v>
      </c>
    </row>
    <row r="14" spans="1:20" ht="15" thickBot="1" x14ac:dyDescent="0.35">
      <c r="A14">
        <v>5</v>
      </c>
      <c r="B14" s="30">
        <v>6</v>
      </c>
      <c r="D14" s="12" cm="1">
        <f t="array" ref="D14">SUM(I14:T14*I$17:T$17)</f>
        <v>339.375</v>
      </c>
      <c r="E14" s="14">
        <f t="shared" si="1"/>
        <v>29</v>
      </c>
      <c r="I14" s="7">
        <f t="shared" si="2"/>
        <v>0</v>
      </c>
      <c r="J14">
        <f t="shared" si="2"/>
        <v>7</v>
      </c>
      <c r="K14">
        <f t="shared" si="2"/>
        <v>2</v>
      </c>
      <c r="L14" s="19">
        <v>3.75</v>
      </c>
      <c r="M14" s="12">
        <f>1.25*1.25</f>
        <v>1.5625</v>
      </c>
      <c r="N14">
        <f t="shared" si="2"/>
        <v>1</v>
      </c>
      <c r="O14">
        <f t="shared" si="2"/>
        <v>0</v>
      </c>
      <c r="P14">
        <f t="shared" si="2"/>
        <v>0</v>
      </c>
      <c r="Q14">
        <f t="shared" si="2"/>
        <v>0</v>
      </c>
      <c r="R14">
        <f t="shared" si="2"/>
        <v>0</v>
      </c>
      <c r="S14">
        <f t="shared" si="2"/>
        <v>3</v>
      </c>
      <c r="T14" s="8">
        <f t="shared" si="2"/>
        <v>9</v>
      </c>
    </row>
    <row r="15" spans="1:20" ht="15" thickBot="1" x14ac:dyDescent="0.35">
      <c r="A15">
        <v>6</v>
      </c>
      <c r="B15" s="29">
        <v>6</v>
      </c>
      <c r="D15" s="12" cm="1">
        <f t="array" ref="D15">SUM(I15:T15*I$17:T$17)</f>
        <v>357.5</v>
      </c>
      <c r="E15" s="12">
        <f t="shared" si="1"/>
        <v>27</v>
      </c>
      <c r="I15" s="9">
        <f t="shared" si="2"/>
        <v>0</v>
      </c>
      <c r="J15" s="10">
        <f t="shared" si="2"/>
        <v>7</v>
      </c>
      <c r="K15" s="10">
        <f t="shared" si="2"/>
        <v>2</v>
      </c>
      <c r="L15" s="10">
        <f t="shared" si="2"/>
        <v>4</v>
      </c>
      <c r="M15" s="13">
        <v>1.25</v>
      </c>
      <c r="N15" s="10">
        <f t="shared" si="2"/>
        <v>1</v>
      </c>
      <c r="O15" s="10">
        <f t="shared" si="2"/>
        <v>0</v>
      </c>
      <c r="P15" s="10">
        <f t="shared" si="2"/>
        <v>0</v>
      </c>
      <c r="Q15" s="10">
        <f t="shared" si="2"/>
        <v>0</v>
      </c>
      <c r="R15" s="10">
        <f t="shared" si="2"/>
        <v>0</v>
      </c>
      <c r="S15" s="10">
        <f t="shared" si="2"/>
        <v>3</v>
      </c>
      <c r="T15" s="11">
        <f t="shared" si="2"/>
        <v>10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4528-D198-443E-A261-FFFA44DADE39}">
  <dimension ref="A1:T17"/>
  <sheetViews>
    <sheetView workbookViewId="0">
      <selection activeCell="B15" activeCellId="1" sqref="B11:B12 B15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5</v>
      </c>
      <c r="C2">
        <v>240</v>
      </c>
      <c r="D2">
        <v>335</v>
      </c>
      <c r="E2">
        <v>29</v>
      </c>
      <c r="F2">
        <v>557</v>
      </c>
      <c r="G2">
        <v>95.44</v>
      </c>
      <c r="H2">
        <v>2259.7669660000001</v>
      </c>
      <c r="I2">
        <v>3.5</v>
      </c>
      <c r="J2">
        <v>14</v>
      </c>
      <c r="K2">
        <v>2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3</v>
      </c>
      <c r="T2">
        <v>6</v>
      </c>
    </row>
    <row r="3" spans="1:20" x14ac:dyDescent="0.3">
      <c r="A3">
        <v>2</v>
      </c>
      <c r="B3">
        <v>12</v>
      </c>
      <c r="C3">
        <v>200</v>
      </c>
      <c r="D3">
        <v>495</v>
      </c>
      <c r="E3">
        <v>20</v>
      </c>
      <c r="F3">
        <v>768</v>
      </c>
      <c r="G3">
        <v>78.56</v>
      </c>
      <c r="H3">
        <v>1585.2303750000001</v>
      </c>
      <c r="I3">
        <v>3.5</v>
      </c>
      <c r="J3">
        <v>14</v>
      </c>
      <c r="K3">
        <v>2</v>
      </c>
      <c r="L3">
        <v>0</v>
      </c>
      <c r="M3">
        <v>0</v>
      </c>
      <c r="N3">
        <v>2</v>
      </c>
      <c r="O3">
        <v>0</v>
      </c>
      <c r="P3">
        <v>1</v>
      </c>
      <c r="Q3">
        <v>0</v>
      </c>
      <c r="R3">
        <v>0</v>
      </c>
      <c r="S3">
        <v>3</v>
      </c>
      <c r="T3">
        <v>12</v>
      </c>
    </row>
    <row r="4" spans="1:20" x14ac:dyDescent="0.3">
      <c r="A4">
        <v>3</v>
      </c>
      <c r="B4">
        <v>6</v>
      </c>
      <c r="C4">
        <v>260</v>
      </c>
      <c r="D4">
        <v>370</v>
      </c>
      <c r="E4">
        <v>27</v>
      </c>
      <c r="F4">
        <v>575</v>
      </c>
      <c r="G4">
        <v>94</v>
      </c>
      <c r="H4">
        <v>1746.222775</v>
      </c>
      <c r="I4">
        <v>3.5</v>
      </c>
      <c r="J4">
        <v>10</v>
      </c>
      <c r="K4">
        <v>1</v>
      </c>
      <c r="L4">
        <v>4</v>
      </c>
      <c r="M4">
        <v>0</v>
      </c>
      <c r="N4">
        <v>0</v>
      </c>
      <c r="O4">
        <v>0</v>
      </c>
      <c r="P4">
        <v>1</v>
      </c>
      <c r="Q4">
        <v>0</v>
      </c>
      <c r="R4">
        <v>9</v>
      </c>
      <c r="S4">
        <v>3</v>
      </c>
      <c r="T4">
        <v>8</v>
      </c>
    </row>
    <row r="5" spans="1:20" x14ac:dyDescent="0.3">
      <c r="A5">
        <v>4</v>
      </c>
      <c r="B5">
        <v>8</v>
      </c>
      <c r="C5">
        <v>220</v>
      </c>
      <c r="D5">
        <v>410</v>
      </c>
      <c r="E5">
        <v>24</v>
      </c>
      <c r="F5">
        <v>677</v>
      </c>
      <c r="G5">
        <v>85.84</v>
      </c>
      <c r="H5">
        <v>1521.725279</v>
      </c>
      <c r="I5">
        <v>2</v>
      </c>
      <c r="J5">
        <v>17</v>
      </c>
      <c r="K5">
        <v>1</v>
      </c>
      <c r="L5">
        <v>4</v>
      </c>
      <c r="M5">
        <v>0</v>
      </c>
      <c r="N5">
        <v>0</v>
      </c>
      <c r="O5">
        <v>0</v>
      </c>
      <c r="P5">
        <v>1</v>
      </c>
      <c r="Q5">
        <v>0</v>
      </c>
      <c r="R5">
        <v>9</v>
      </c>
      <c r="S5">
        <v>3</v>
      </c>
      <c r="T5">
        <v>9</v>
      </c>
    </row>
    <row r="6" spans="1:20" x14ac:dyDescent="0.3">
      <c r="A6">
        <v>5</v>
      </c>
      <c r="B6">
        <v>5</v>
      </c>
      <c r="C6">
        <v>240</v>
      </c>
      <c r="D6">
        <v>245</v>
      </c>
      <c r="E6">
        <v>40</v>
      </c>
      <c r="F6">
        <v>563</v>
      </c>
      <c r="G6">
        <v>94.96</v>
      </c>
      <c r="H6">
        <v>708.77999699999998</v>
      </c>
      <c r="I6">
        <v>1.5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3</v>
      </c>
      <c r="T6">
        <v>6</v>
      </c>
    </row>
    <row r="7" spans="1:20" x14ac:dyDescent="0.3">
      <c r="A7">
        <v>6</v>
      </c>
      <c r="B7">
        <v>5</v>
      </c>
      <c r="C7">
        <v>320</v>
      </c>
      <c r="D7">
        <v>270</v>
      </c>
      <c r="E7">
        <v>37</v>
      </c>
      <c r="F7">
        <v>548</v>
      </c>
      <c r="G7">
        <v>96.16</v>
      </c>
      <c r="H7">
        <v>1357.7644560000001</v>
      </c>
      <c r="I7">
        <v>0</v>
      </c>
      <c r="J7">
        <v>4</v>
      </c>
      <c r="K7">
        <v>1.5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9</v>
      </c>
      <c r="S7">
        <v>3</v>
      </c>
      <c r="T7">
        <v>8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23">
        <v>6</v>
      </c>
      <c r="D10" s="19" cm="1">
        <f t="array" ref="D10">SUM(I10:T10*I$17:T$17)</f>
        <v>332.5</v>
      </c>
      <c r="E10" s="26">
        <f>MIN(FLOOR(10000/D10,1),40)</f>
        <v>30</v>
      </c>
      <c r="I10" s="4">
        <f>I2</f>
        <v>3.5</v>
      </c>
      <c r="J10" s="5">
        <f t="shared" ref="J10:T10" si="0">J2</f>
        <v>14</v>
      </c>
      <c r="K10" s="15">
        <v>1.75</v>
      </c>
      <c r="L10" s="5">
        <f t="shared" si="0"/>
        <v>0</v>
      </c>
      <c r="M10" s="5">
        <f t="shared" si="0"/>
        <v>0</v>
      </c>
      <c r="N10" s="5">
        <f t="shared" si="0"/>
        <v>1</v>
      </c>
      <c r="O10" s="5">
        <f t="shared" si="0"/>
        <v>0</v>
      </c>
      <c r="P10" s="5">
        <f t="shared" si="0"/>
        <v>1</v>
      </c>
      <c r="Q10" s="5">
        <f t="shared" si="0"/>
        <v>0</v>
      </c>
      <c r="R10" s="5">
        <f t="shared" si="0"/>
        <v>0</v>
      </c>
      <c r="S10" s="5">
        <f t="shared" si="0"/>
        <v>3</v>
      </c>
      <c r="T10" s="6">
        <f t="shared" si="0"/>
        <v>6</v>
      </c>
    </row>
    <row r="11" spans="1:20" x14ac:dyDescent="0.3">
      <c r="A11">
        <v>2</v>
      </c>
      <c r="B11" s="29">
        <v>12</v>
      </c>
      <c r="D11" s="19" cm="1">
        <f t="array" ref="D11">SUM(I11:T11*I$17:T$17)</f>
        <v>492.5</v>
      </c>
      <c r="E11" s="14">
        <f t="shared" ref="E11:E14" si="1">MIN(FLOOR(10000/D11,1),40)</f>
        <v>20</v>
      </c>
      <c r="I11" s="7">
        <f t="shared" ref="I11:T15" si="2">I3</f>
        <v>3.5</v>
      </c>
      <c r="J11">
        <f t="shared" si="2"/>
        <v>14</v>
      </c>
      <c r="K11" s="19">
        <v>1.75</v>
      </c>
      <c r="L11">
        <f t="shared" si="2"/>
        <v>0</v>
      </c>
      <c r="M11">
        <f t="shared" si="2"/>
        <v>0</v>
      </c>
      <c r="N11">
        <f t="shared" si="2"/>
        <v>2</v>
      </c>
      <c r="O11">
        <f t="shared" si="2"/>
        <v>0</v>
      </c>
      <c r="P11">
        <f t="shared" si="2"/>
        <v>1</v>
      </c>
      <c r="Q11">
        <f t="shared" si="2"/>
        <v>0</v>
      </c>
      <c r="R11">
        <f t="shared" si="2"/>
        <v>0</v>
      </c>
      <c r="S11">
        <f t="shared" si="2"/>
        <v>3</v>
      </c>
      <c r="T11" s="8">
        <f t="shared" si="2"/>
        <v>12</v>
      </c>
    </row>
    <row r="12" spans="1:20" x14ac:dyDescent="0.3">
      <c r="A12">
        <v>3</v>
      </c>
      <c r="B12" s="29">
        <v>6</v>
      </c>
      <c r="D12" s="14" cm="1">
        <f t="array" ref="D12">SUM(I12:T12*I$17:T$17)</f>
        <v>370</v>
      </c>
      <c r="E12" s="14">
        <f t="shared" si="1"/>
        <v>27</v>
      </c>
      <c r="I12" s="7">
        <f t="shared" si="2"/>
        <v>3.5</v>
      </c>
      <c r="J12">
        <f t="shared" si="2"/>
        <v>10</v>
      </c>
      <c r="K12">
        <f t="shared" si="2"/>
        <v>1</v>
      </c>
      <c r="L12">
        <f t="shared" si="2"/>
        <v>4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1</v>
      </c>
      <c r="Q12">
        <f t="shared" si="2"/>
        <v>0</v>
      </c>
      <c r="R12">
        <f t="shared" si="2"/>
        <v>9</v>
      </c>
      <c r="S12">
        <f t="shared" si="2"/>
        <v>3</v>
      </c>
      <c r="T12" s="8">
        <f t="shared" si="2"/>
        <v>8</v>
      </c>
    </row>
    <row r="13" spans="1:20" x14ac:dyDescent="0.3">
      <c r="A13">
        <v>4</v>
      </c>
      <c r="B13" s="23">
        <v>9</v>
      </c>
      <c r="D13" s="19" cm="1">
        <f t="array" ref="D13">SUM(I13:T13*I$17:T$17)</f>
        <v>407.5</v>
      </c>
      <c r="E13" s="14">
        <f t="shared" si="1"/>
        <v>24</v>
      </c>
      <c r="I13" s="27">
        <v>1.75</v>
      </c>
      <c r="J13">
        <f t="shared" si="2"/>
        <v>17</v>
      </c>
      <c r="K13">
        <f t="shared" si="2"/>
        <v>1</v>
      </c>
      <c r="L13">
        <f t="shared" si="2"/>
        <v>4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1</v>
      </c>
      <c r="Q13">
        <f t="shared" si="2"/>
        <v>0</v>
      </c>
      <c r="R13">
        <f t="shared" si="2"/>
        <v>9</v>
      </c>
      <c r="S13">
        <f t="shared" si="2"/>
        <v>3</v>
      </c>
      <c r="T13" s="8">
        <f t="shared" si="2"/>
        <v>9</v>
      </c>
    </row>
    <row r="14" spans="1:20" ht="15" thickBot="1" x14ac:dyDescent="0.35">
      <c r="A14">
        <v>5</v>
      </c>
      <c r="B14" s="22">
        <v>6</v>
      </c>
      <c r="D14" s="14" cm="1">
        <f t="array" ref="D14">SUM(I14:T14*I$17:T$17)</f>
        <v>245</v>
      </c>
      <c r="E14" s="14">
        <f t="shared" si="1"/>
        <v>40</v>
      </c>
      <c r="I14" s="9">
        <f t="shared" si="2"/>
        <v>1.5</v>
      </c>
      <c r="J14" s="10">
        <f t="shared" si="2"/>
        <v>0</v>
      </c>
      <c r="K14" s="10">
        <f t="shared" si="2"/>
        <v>2</v>
      </c>
      <c r="L14" s="10">
        <f t="shared" si="2"/>
        <v>0</v>
      </c>
      <c r="M14" s="10">
        <f t="shared" si="2"/>
        <v>0</v>
      </c>
      <c r="N14" s="10">
        <f t="shared" si="2"/>
        <v>1</v>
      </c>
      <c r="O14" s="10">
        <f t="shared" si="2"/>
        <v>0</v>
      </c>
      <c r="P14" s="10">
        <f t="shared" si="2"/>
        <v>1</v>
      </c>
      <c r="Q14" s="10">
        <f t="shared" si="2"/>
        <v>0</v>
      </c>
      <c r="R14" s="10">
        <f t="shared" si="2"/>
        <v>0</v>
      </c>
      <c r="S14" s="10">
        <f t="shared" si="2"/>
        <v>3</v>
      </c>
      <c r="T14" s="11">
        <f t="shared" si="2"/>
        <v>6</v>
      </c>
    </row>
    <row r="15" spans="1:20" ht="15" thickBot="1" x14ac:dyDescent="0.35">
      <c r="A15">
        <v>6</v>
      </c>
      <c r="B15" s="29">
        <v>5</v>
      </c>
      <c r="D15" s="12" cm="1">
        <f t="array" ref="D15">SUM(I15:T15*I$17:T$17)</f>
        <v>277.5</v>
      </c>
      <c r="E15" s="12">
        <f>MIN(FLOOR(10000/D15,1),40)</f>
        <v>36</v>
      </c>
      <c r="I15" s="9">
        <f t="shared" si="2"/>
        <v>0</v>
      </c>
      <c r="J15" s="10">
        <f t="shared" si="2"/>
        <v>4</v>
      </c>
      <c r="K15" s="10">
        <f t="shared" si="2"/>
        <v>1.5</v>
      </c>
      <c r="L15" s="13">
        <v>1.5</v>
      </c>
      <c r="M15" s="10">
        <f t="shared" si="2"/>
        <v>0</v>
      </c>
      <c r="N15" s="10">
        <f t="shared" si="2"/>
        <v>0</v>
      </c>
      <c r="O15" s="10">
        <f t="shared" si="2"/>
        <v>0</v>
      </c>
      <c r="P15" s="10">
        <f t="shared" si="2"/>
        <v>0</v>
      </c>
      <c r="Q15" s="10">
        <f t="shared" si="2"/>
        <v>0</v>
      </c>
      <c r="R15" s="10">
        <f t="shared" si="2"/>
        <v>9</v>
      </c>
      <c r="S15" s="10">
        <f t="shared" si="2"/>
        <v>3</v>
      </c>
      <c r="T15" s="11">
        <f t="shared" si="2"/>
        <v>8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F3FA-3F76-4923-B656-2C39ABA8F1C6}">
  <dimension ref="A1:T17"/>
  <sheetViews>
    <sheetView zoomScale="73" workbookViewId="0">
      <selection activeCell="I34" sqref="I34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10</v>
      </c>
      <c r="C2">
        <v>200</v>
      </c>
      <c r="D2">
        <v>300</v>
      </c>
      <c r="E2">
        <v>33</v>
      </c>
      <c r="F2">
        <v>641</v>
      </c>
      <c r="G2">
        <v>88.72</v>
      </c>
      <c r="H2">
        <v>2067.083799</v>
      </c>
      <c r="I2">
        <v>0</v>
      </c>
      <c r="J2">
        <v>0</v>
      </c>
      <c r="K2">
        <v>0</v>
      </c>
      <c r="L2">
        <v>0</v>
      </c>
      <c r="M2">
        <v>6</v>
      </c>
      <c r="N2">
        <v>0</v>
      </c>
      <c r="O2">
        <v>0</v>
      </c>
      <c r="P2">
        <v>0.5</v>
      </c>
      <c r="Q2">
        <v>0</v>
      </c>
      <c r="R2">
        <v>0</v>
      </c>
      <c r="S2">
        <v>3</v>
      </c>
      <c r="T2">
        <v>10</v>
      </c>
    </row>
    <row r="3" spans="1:20" x14ac:dyDescent="0.3">
      <c r="A3">
        <v>2</v>
      </c>
      <c r="B3">
        <v>8</v>
      </c>
      <c r="C3">
        <v>200</v>
      </c>
      <c r="D3">
        <v>240</v>
      </c>
      <c r="E3">
        <v>40</v>
      </c>
      <c r="F3">
        <v>623</v>
      </c>
      <c r="G3">
        <v>90.16</v>
      </c>
      <c r="H3">
        <v>1519.1525099999999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0.5</v>
      </c>
      <c r="Q3">
        <v>0</v>
      </c>
      <c r="R3">
        <v>8</v>
      </c>
      <c r="S3">
        <v>3</v>
      </c>
      <c r="T3">
        <v>8</v>
      </c>
    </row>
    <row r="4" spans="1:20" x14ac:dyDescent="0.3">
      <c r="A4">
        <v>3</v>
      </c>
      <c r="B4">
        <v>6</v>
      </c>
      <c r="C4">
        <v>300</v>
      </c>
      <c r="D4">
        <v>250</v>
      </c>
      <c r="E4">
        <v>40</v>
      </c>
      <c r="F4">
        <v>545</v>
      </c>
      <c r="G4">
        <v>96.399999999999991</v>
      </c>
      <c r="H4">
        <v>1525.777032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0.5</v>
      </c>
      <c r="Q4">
        <v>0</v>
      </c>
      <c r="R4">
        <v>6</v>
      </c>
      <c r="S4">
        <v>3</v>
      </c>
      <c r="T4">
        <v>9</v>
      </c>
    </row>
    <row r="5" spans="1:20" x14ac:dyDescent="0.3">
      <c r="A5">
        <v>4</v>
      </c>
      <c r="B5">
        <v>5</v>
      </c>
      <c r="C5">
        <v>320</v>
      </c>
      <c r="D5">
        <v>250</v>
      </c>
      <c r="E5">
        <v>40</v>
      </c>
      <c r="F5">
        <v>559</v>
      </c>
      <c r="G5">
        <v>95.28</v>
      </c>
      <c r="H5">
        <v>1132.2305630000001</v>
      </c>
      <c r="I5">
        <v>0</v>
      </c>
      <c r="J5">
        <v>0</v>
      </c>
      <c r="K5">
        <v>0</v>
      </c>
      <c r="L5">
        <v>0</v>
      </c>
      <c r="M5">
        <v>5</v>
      </c>
      <c r="N5">
        <v>0</v>
      </c>
      <c r="O5">
        <v>0</v>
      </c>
      <c r="P5">
        <v>0.5</v>
      </c>
      <c r="Q5">
        <v>0</v>
      </c>
      <c r="R5">
        <v>0</v>
      </c>
      <c r="S5">
        <v>3</v>
      </c>
      <c r="T5">
        <v>8</v>
      </c>
    </row>
    <row r="6" spans="1:20" x14ac:dyDescent="0.3">
      <c r="A6">
        <v>5</v>
      </c>
      <c r="B6">
        <v>4</v>
      </c>
      <c r="C6">
        <v>350</v>
      </c>
      <c r="D6">
        <v>250</v>
      </c>
      <c r="E6">
        <v>40</v>
      </c>
      <c r="F6">
        <v>610</v>
      </c>
      <c r="G6">
        <v>91.2</v>
      </c>
      <c r="H6">
        <v>739.11709900000005</v>
      </c>
      <c r="I6">
        <v>0</v>
      </c>
      <c r="J6">
        <v>0</v>
      </c>
      <c r="K6">
        <v>0</v>
      </c>
      <c r="L6">
        <v>0</v>
      </c>
      <c r="M6">
        <v>7</v>
      </c>
      <c r="N6">
        <v>0</v>
      </c>
      <c r="O6">
        <v>0</v>
      </c>
      <c r="P6">
        <v>0.5</v>
      </c>
      <c r="Q6">
        <v>0</v>
      </c>
      <c r="R6">
        <v>0</v>
      </c>
      <c r="S6">
        <v>3</v>
      </c>
      <c r="T6">
        <v>7</v>
      </c>
    </row>
    <row r="7" spans="1:20" x14ac:dyDescent="0.3">
      <c r="A7">
        <v>6</v>
      </c>
      <c r="B7">
        <v>6</v>
      </c>
      <c r="C7">
        <v>330</v>
      </c>
      <c r="D7">
        <v>250</v>
      </c>
      <c r="E7">
        <v>40</v>
      </c>
      <c r="F7">
        <v>499</v>
      </c>
      <c r="G7">
        <v>100.07999999999998</v>
      </c>
      <c r="H7">
        <v>1792.1210759999999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0.25</v>
      </c>
      <c r="Q7">
        <v>0</v>
      </c>
      <c r="R7">
        <v>3</v>
      </c>
      <c r="S7">
        <v>3</v>
      </c>
      <c r="T7">
        <v>10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23">
        <v>12</v>
      </c>
      <c r="D10" s="12" cm="1">
        <f t="array" ref="D10">SUM(I10:T10*I$17:T$17)</f>
        <v>315</v>
      </c>
      <c r="E10" s="12">
        <f>MIN(FLOOR(10000/D10,1),40)</f>
        <v>31</v>
      </c>
      <c r="I10" s="4">
        <f>I2</f>
        <v>0</v>
      </c>
      <c r="J10" s="5">
        <f t="shared" ref="J10:T10" si="0">J2</f>
        <v>0</v>
      </c>
      <c r="K10" s="5">
        <f t="shared" si="0"/>
        <v>0</v>
      </c>
      <c r="L10" s="5">
        <f t="shared" si="0"/>
        <v>0</v>
      </c>
      <c r="M10" s="20">
        <f>1.5*5</f>
        <v>7.5</v>
      </c>
      <c r="N10" s="5">
        <f t="shared" si="0"/>
        <v>0</v>
      </c>
      <c r="O10" s="5">
        <f t="shared" si="0"/>
        <v>0</v>
      </c>
      <c r="P10" s="5">
        <f t="shared" si="0"/>
        <v>0.5</v>
      </c>
      <c r="Q10" s="5">
        <f t="shared" si="0"/>
        <v>0</v>
      </c>
      <c r="R10" s="5">
        <f t="shared" si="0"/>
        <v>0</v>
      </c>
      <c r="S10" s="5">
        <f t="shared" si="0"/>
        <v>3</v>
      </c>
      <c r="T10" s="6">
        <f t="shared" si="0"/>
        <v>10</v>
      </c>
    </row>
    <row r="11" spans="1:20" x14ac:dyDescent="0.3">
      <c r="A11">
        <v>2</v>
      </c>
      <c r="B11" s="2">
        <v>8</v>
      </c>
      <c r="D11" s="19" cm="1">
        <f t="array" ref="D11">SUM(I11:T11*I$17:T$17)</f>
        <v>231.25</v>
      </c>
      <c r="E11" s="14">
        <f t="shared" ref="E11:E15" si="1">MIN(FLOOR(10000/D11,1),40)</f>
        <v>40</v>
      </c>
      <c r="I11" s="7">
        <f t="shared" ref="I11:T15" si="2">I3</f>
        <v>0</v>
      </c>
      <c r="J11">
        <f t="shared" si="2"/>
        <v>0</v>
      </c>
      <c r="K11">
        <f t="shared" si="2"/>
        <v>0</v>
      </c>
      <c r="L11">
        <f t="shared" si="2"/>
        <v>0</v>
      </c>
      <c r="M11">
        <f t="shared" si="2"/>
        <v>0</v>
      </c>
      <c r="N11">
        <f t="shared" si="2"/>
        <v>0</v>
      </c>
      <c r="O11">
        <f t="shared" si="2"/>
        <v>0</v>
      </c>
      <c r="P11">
        <f t="shared" si="2"/>
        <v>0.5</v>
      </c>
      <c r="Q11">
        <f t="shared" si="2"/>
        <v>0</v>
      </c>
      <c r="R11" s="19">
        <f>2.5*2.5</f>
        <v>6.25</v>
      </c>
      <c r="S11">
        <f t="shared" si="2"/>
        <v>3</v>
      </c>
      <c r="T11" s="8">
        <f t="shared" si="2"/>
        <v>8</v>
      </c>
    </row>
    <row r="12" spans="1:20" x14ac:dyDescent="0.3">
      <c r="A12">
        <v>3</v>
      </c>
      <c r="B12" s="23">
        <v>7</v>
      </c>
      <c r="D12" s="12" cm="1">
        <f t="array" ref="D12">SUM(I12:T12*I$17:T$17)</f>
        <v>254.375</v>
      </c>
      <c r="E12" s="12">
        <f t="shared" si="1"/>
        <v>39</v>
      </c>
      <c r="I12" s="7">
        <f t="shared" si="2"/>
        <v>0</v>
      </c>
      <c r="J12">
        <f t="shared" si="2"/>
        <v>0</v>
      </c>
      <c r="K12">
        <f t="shared" si="2"/>
        <v>0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0.5</v>
      </c>
      <c r="Q12">
        <f t="shared" si="2"/>
        <v>0</v>
      </c>
      <c r="R12" s="12">
        <f>2.5*2.75</f>
        <v>6.875</v>
      </c>
      <c r="S12">
        <f t="shared" si="2"/>
        <v>3</v>
      </c>
      <c r="T12" s="8">
        <f t="shared" si="2"/>
        <v>9</v>
      </c>
    </row>
    <row r="13" spans="1:20" x14ac:dyDescent="0.3">
      <c r="A13">
        <v>4</v>
      </c>
      <c r="B13" s="2">
        <v>5</v>
      </c>
      <c r="D13" s="12" cm="1">
        <f t="array" ref="D13">SUM(I13:T13*I$17:T$17)</f>
        <v>255</v>
      </c>
      <c r="E13" s="12">
        <f t="shared" si="1"/>
        <v>39</v>
      </c>
      <c r="I13" s="7">
        <f t="shared" si="2"/>
        <v>0</v>
      </c>
      <c r="J13">
        <f t="shared" si="2"/>
        <v>0</v>
      </c>
      <c r="K13">
        <f t="shared" si="2"/>
        <v>0</v>
      </c>
      <c r="L13">
        <f t="shared" si="2"/>
        <v>0</v>
      </c>
      <c r="M13" s="12">
        <f>2.75*2</f>
        <v>5.5</v>
      </c>
      <c r="N13">
        <f t="shared" si="2"/>
        <v>0</v>
      </c>
      <c r="O13">
        <f t="shared" si="2"/>
        <v>0</v>
      </c>
      <c r="P13">
        <f t="shared" si="2"/>
        <v>0.5</v>
      </c>
      <c r="Q13">
        <f t="shared" si="2"/>
        <v>0</v>
      </c>
      <c r="R13">
        <f t="shared" si="2"/>
        <v>0</v>
      </c>
      <c r="S13">
        <f t="shared" si="2"/>
        <v>3</v>
      </c>
      <c r="T13" s="8">
        <f t="shared" si="2"/>
        <v>8</v>
      </c>
    </row>
    <row r="14" spans="1:20" ht="15" thickBot="1" x14ac:dyDescent="0.35">
      <c r="A14">
        <v>5</v>
      </c>
      <c r="B14" s="3">
        <v>6</v>
      </c>
      <c r="D14" s="14" cm="1">
        <f t="array" ref="D14">SUM(I14:T14*I$17:T$17)</f>
        <v>250</v>
      </c>
      <c r="E14" s="14">
        <f t="shared" si="1"/>
        <v>40</v>
      </c>
      <c r="I14" s="7">
        <f t="shared" si="2"/>
        <v>0</v>
      </c>
      <c r="J14">
        <f t="shared" si="2"/>
        <v>0</v>
      </c>
      <c r="K14">
        <f t="shared" si="2"/>
        <v>0</v>
      </c>
      <c r="L14">
        <f t="shared" si="2"/>
        <v>0</v>
      </c>
      <c r="M14">
        <f t="shared" si="2"/>
        <v>7</v>
      </c>
      <c r="N14">
        <f t="shared" si="2"/>
        <v>0</v>
      </c>
      <c r="O14">
        <f t="shared" si="2"/>
        <v>0</v>
      </c>
      <c r="P14">
        <f t="shared" si="2"/>
        <v>0.5</v>
      </c>
      <c r="Q14">
        <f t="shared" si="2"/>
        <v>0</v>
      </c>
      <c r="R14">
        <f t="shared" si="2"/>
        <v>0</v>
      </c>
      <c r="S14">
        <f t="shared" si="2"/>
        <v>3</v>
      </c>
      <c r="T14" s="8">
        <f t="shared" si="2"/>
        <v>7</v>
      </c>
    </row>
    <row r="15" spans="1:20" ht="15" thickBot="1" x14ac:dyDescent="0.35">
      <c r="A15">
        <v>6</v>
      </c>
      <c r="B15" s="25">
        <v>6</v>
      </c>
      <c r="D15" s="19" cm="1">
        <f t="array" ref="D15">SUM(I15:T15*I$17:T$17)</f>
        <v>247.5</v>
      </c>
      <c r="E15" s="14">
        <f t="shared" si="1"/>
        <v>40</v>
      </c>
      <c r="I15" s="9">
        <f t="shared" si="2"/>
        <v>0</v>
      </c>
      <c r="J15" s="10">
        <f t="shared" si="2"/>
        <v>0</v>
      </c>
      <c r="K15" s="10">
        <f t="shared" si="2"/>
        <v>0</v>
      </c>
      <c r="L15" s="10">
        <f t="shared" si="2"/>
        <v>0</v>
      </c>
      <c r="M15" s="10">
        <f t="shared" si="2"/>
        <v>0</v>
      </c>
      <c r="N15" s="10">
        <f t="shared" si="2"/>
        <v>0</v>
      </c>
      <c r="O15" s="10">
        <f t="shared" si="2"/>
        <v>0</v>
      </c>
      <c r="P15" s="10">
        <f t="shared" si="2"/>
        <v>0.25</v>
      </c>
      <c r="Q15" s="10">
        <f t="shared" si="2"/>
        <v>0</v>
      </c>
      <c r="R15" s="24">
        <v>2.5</v>
      </c>
      <c r="S15" s="10">
        <f t="shared" si="2"/>
        <v>3</v>
      </c>
      <c r="T15" s="11">
        <f t="shared" si="2"/>
        <v>10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8B72-9091-466B-B19F-17ABC8E23778}">
  <dimension ref="A1:T15"/>
  <sheetViews>
    <sheetView workbookViewId="0">
      <selection activeCell="A9" sqref="A8:XFD9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8</v>
      </c>
      <c r="C2">
        <v>200</v>
      </c>
      <c r="D2">
        <v>415</v>
      </c>
      <c r="E2">
        <v>24</v>
      </c>
      <c r="F2">
        <v>715</v>
      </c>
      <c r="G2">
        <v>82.800000000000011</v>
      </c>
      <c r="H2">
        <v>868.50277700000004</v>
      </c>
      <c r="I2">
        <v>0</v>
      </c>
      <c r="J2">
        <v>21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16</v>
      </c>
      <c r="S2">
        <v>3</v>
      </c>
      <c r="T2">
        <v>8</v>
      </c>
    </row>
    <row r="3" spans="1:20" x14ac:dyDescent="0.3">
      <c r="A3">
        <v>2</v>
      </c>
      <c r="B3">
        <v>8</v>
      </c>
      <c r="C3">
        <v>250</v>
      </c>
      <c r="D3">
        <v>580</v>
      </c>
      <c r="E3">
        <v>17</v>
      </c>
      <c r="F3">
        <v>784</v>
      </c>
      <c r="G3">
        <v>77.279999999999987</v>
      </c>
      <c r="H3">
        <v>573.008781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28</v>
      </c>
      <c r="S3">
        <v>3</v>
      </c>
      <c r="T3">
        <v>10</v>
      </c>
    </row>
    <row r="4" spans="1:20" x14ac:dyDescent="0.3">
      <c r="A4">
        <v>3</v>
      </c>
      <c r="B4">
        <v>6</v>
      </c>
      <c r="C4">
        <v>260</v>
      </c>
      <c r="D4">
        <v>360</v>
      </c>
      <c r="E4">
        <v>27</v>
      </c>
      <c r="F4">
        <v>575</v>
      </c>
      <c r="G4">
        <v>94</v>
      </c>
      <c r="H4">
        <v>872.783727</v>
      </c>
      <c r="I4">
        <v>0</v>
      </c>
      <c r="J4">
        <v>0</v>
      </c>
      <c r="K4">
        <v>0</v>
      </c>
      <c r="L4">
        <v>0</v>
      </c>
      <c r="M4">
        <v>0</v>
      </c>
      <c r="N4">
        <v>3</v>
      </c>
      <c r="O4">
        <v>0</v>
      </c>
      <c r="P4">
        <v>0</v>
      </c>
      <c r="Q4">
        <v>1</v>
      </c>
      <c r="R4">
        <v>0</v>
      </c>
      <c r="S4">
        <v>3</v>
      </c>
      <c r="T4">
        <v>8</v>
      </c>
    </row>
    <row r="5" spans="1:20" x14ac:dyDescent="0.3">
      <c r="A5">
        <v>4</v>
      </c>
      <c r="B5">
        <v>6</v>
      </c>
      <c r="C5">
        <v>260</v>
      </c>
      <c r="D5">
        <v>425</v>
      </c>
      <c r="E5">
        <v>23</v>
      </c>
      <c r="F5">
        <v>649</v>
      </c>
      <c r="G5">
        <v>88.08</v>
      </c>
      <c r="H5">
        <v>450.65162500000002</v>
      </c>
      <c r="I5">
        <v>0</v>
      </c>
      <c r="J5">
        <v>7</v>
      </c>
      <c r="K5">
        <v>0</v>
      </c>
      <c r="L5">
        <v>0</v>
      </c>
      <c r="M5">
        <v>0</v>
      </c>
      <c r="N5">
        <v>3</v>
      </c>
      <c r="O5">
        <v>0</v>
      </c>
      <c r="P5">
        <v>3</v>
      </c>
      <c r="Q5">
        <v>0</v>
      </c>
      <c r="R5">
        <v>4</v>
      </c>
      <c r="S5">
        <v>3</v>
      </c>
      <c r="T5">
        <v>8</v>
      </c>
    </row>
    <row r="6" spans="1:20" x14ac:dyDescent="0.3">
      <c r="A6">
        <v>5</v>
      </c>
      <c r="B6">
        <v>5</v>
      </c>
      <c r="C6">
        <v>320</v>
      </c>
      <c r="D6">
        <v>310</v>
      </c>
      <c r="E6">
        <v>32</v>
      </c>
      <c r="F6">
        <v>611</v>
      </c>
      <c r="G6">
        <v>91.12</v>
      </c>
      <c r="H6">
        <v>232.74540400000001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2</v>
      </c>
      <c r="Q6">
        <v>0</v>
      </c>
      <c r="R6">
        <v>4</v>
      </c>
      <c r="S6">
        <v>3</v>
      </c>
      <c r="T6">
        <v>8</v>
      </c>
    </row>
    <row r="7" spans="1:20" ht="15" thickBot="1" x14ac:dyDescent="0.35"/>
    <row r="8" spans="1:20" ht="15" thickBot="1" x14ac:dyDescent="0.35">
      <c r="A8" t="s">
        <v>0</v>
      </c>
      <c r="B8" s="1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s="4" t="s">
        <v>8</v>
      </c>
      <c r="J8" s="5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6" t="s">
        <v>19</v>
      </c>
    </row>
    <row r="9" spans="1:20" x14ac:dyDescent="0.3">
      <c r="A9">
        <v>1</v>
      </c>
      <c r="B9" s="23">
        <v>25</v>
      </c>
      <c r="D9" s="12" cm="1">
        <f t="array" ref="D9">SUM(I9:T9*I$15:T$15)</f>
        <v>438.75</v>
      </c>
      <c r="E9" s="12">
        <f>MIN(FLOOR(10000/D9,1),40)</f>
        <v>22</v>
      </c>
      <c r="I9" s="4">
        <f>I2</f>
        <v>0</v>
      </c>
      <c r="J9" s="20">
        <f>2.75+2+2.25+1.75+2+5+4.25+2.75+2.5</f>
        <v>25.25</v>
      </c>
      <c r="K9" s="20">
        <v>1.5</v>
      </c>
      <c r="L9" s="5">
        <f t="shared" ref="L9:Q9" si="0">L2</f>
        <v>0</v>
      </c>
      <c r="M9" s="5">
        <f t="shared" si="0"/>
        <v>0</v>
      </c>
      <c r="N9" s="5">
        <f t="shared" si="0"/>
        <v>0</v>
      </c>
      <c r="O9" s="5">
        <f t="shared" si="0"/>
        <v>0</v>
      </c>
      <c r="P9" s="5">
        <f t="shared" si="0"/>
        <v>2</v>
      </c>
      <c r="Q9" s="5">
        <f t="shared" si="0"/>
        <v>0</v>
      </c>
      <c r="R9" s="15">
        <f>(1.5*7)+1.5*2</f>
        <v>13.5</v>
      </c>
      <c r="S9" s="5">
        <f>S2</f>
        <v>3</v>
      </c>
      <c r="T9" s="6">
        <f>T2</f>
        <v>8</v>
      </c>
    </row>
    <row r="10" spans="1:20" x14ac:dyDescent="0.3">
      <c r="A10">
        <v>2</v>
      </c>
      <c r="B10" s="23">
        <v>36</v>
      </c>
      <c r="D10" s="12" cm="1">
        <f t="array" ref="D10">SUM(I10:T10*I$15:T$15)</f>
        <v>626.25</v>
      </c>
      <c r="E10" s="12">
        <f t="shared" ref="E10:E13" si="1">MIN(FLOOR(10000/D10,1),40)</f>
        <v>15</v>
      </c>
      <c r="I10" s="7">
        <f t="shared" ref="I10:T10" si="2">I3</f>
        <v>0</v>
      </c>
      <c r="J10" s="12">
        <f>11+9+11.5+3.25</f>
        <v>34.75</v>
      </c>
      <c r="K10" s="12">
        <v>2.5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3</v>
      </c>
      <c r="Q10">
        <f t="shared" si="2"/>
        <v>0</v>
      </c>
      <c r="R10" s="19">
        <f>5*5.5</f>
        <v>27.5</v>
      </c>
      <c r="S10">
        <f t="shared" si="2"/>
        <v>3</v>
      </c>
      <c r="T10" s="8">
        <f t="shared" si="2"/>
        <v>10</v>
      </c>
    </row>
    <row r="11" spans="1:20" x14ac:dyDescent="0.3">
      <c r="A11">
        <v>3</v>
      </c>
      <c r="B11" s="23">
        <v>15</v>
      </c>
      <c r="D11" s="14" cm="1">
        <f t="array" ref="D11">SUM(I11:T11*I$15:T$15)</f>
        <v>360</v>
      </c>
      <c r="E11" s="14">
        <f t="shared" si="1"/>
        <v>27</v>
      </c>
      <c r="I11" s="7">
        <f t="shared" ref="I11:T11" si="3">I4</f>
        <v>0</v>
      </c>
      <c r="J11">
        <f t="shared" si="3"/>
        <v>0</v>
      </c>
      <c r="K11">
        <f t="shared" si="3"/>
        <v>0</v>
      </c>
      <c r="L11">
        <f t="shared" si="3"/>
        <v>0</v>
      </c>
      <c r="M11">
        <f t="shared" si="3"/>
        <v>0</v>
      </c>
      <c r="N11">
        <f t="shared" si="3"/>
        <v>3</v>
      </c>
      <c r="O11">
        <f t="shared" si="3"/>
        <v>0</v>
      </c>
      <c r="P11">
        <f t="shared" si="3"/>
        <v>0</v>
      </c>
      <c r="Q11">
        <f t="shared" si="3"/>
        <v>1</v>
      </c>
      <c r="R11">
        <f t="shared" si="3"/>
        <v>0</v>
      </c>
      <c r="S11">
        <f t="shared" si="3"/>
        <v>3</v>
      </c>
      <c r="T11" s="8">
        <f t="shared" si="3"/>
        <v>8</v>
      </c>
    </row>
    <row r="12" spans="1:20" x14ac:dyDescent="0.3">
      <c r="A12">
        <v>4</v>
      </c>
      <c r="B12" s="23">
        <v>15</v>
      </c>
      <c r="D12" s="14" cm="1">
        <f t="array" ref="D12">SUM(I12:T12*I$15:T$15)</f>
        <v>425</v>
      </c>
      <c r="E12" s="14">
        <f t="shared" si="1"/>
        <v>23</v>
      </c>
      <c r="I12" s="7">
        <f t="shared" ref="I12:T12" si="4">I5</f>
        <v>0</v>
      </c>
      <c r="J12">
        <f t="shared" si="4"/>
        <v>7</v>
      </c>
      <c r="K12">
        <f t="shared" si="4"/>
        <v>0</v>
      </c>
      <c r="L12">
        <f t="shared" si="4"/>
        <v>0</v>
      </c>
      <c r="M12">
        <f t="shared" si="4"/>
        <v>0</v>
      </c>
      <c r="N12">
        <f t="shared" si="4"/>
        <v>3</v>
      </c>
      <c r="O12">
        <f t="shared" si="4"/>
        <v>0</v>
      </c>
      <c r="P12">
        <f t="shared" si="4"/>
        <v>3</v>
      </c>
      <c r="Q12">
        <f t="shared" si="4"/>
        <v>0</v>
      </c>
      <c r="R12">
        <f t="shared" si="4"/>
        <v>4</v>
      </c>
      <c r="S12">
        <f t="shared" si="4"/>
        <v>3</v>
      </c>
      <c r="T12" s="8">
        <f t="shared" si="4"/>
        <v>8</v>
      </c>
    </row>
    <row r="13" spans="1:20" ht="15" thickBot="1" x14ac:dyDescent="0.35">
      <c r="A13">
        <v>5</v>
      </c>
      <c r="B13" s="22">
        <v>10</v>
      </c>
      <c r="D13" s="12" cm="1">
        <f t="array" ref="D13">SUM(I13:T13*I$15:T$15)</f>
        <v>310.70796326794897</v>
      </c>
      <c r="E13" s="14">
        <f t="shared" si="1"/>
        <v>32</v>
      </c>
      <c r="I13" s="9">
        <f t="shared" ref="I13:T13" si="5">I6</f>
        <v>0</v>
      </c>
      <c r="J13" s="13">
        <v>4</v>
      </c>
      <c r="K13" s="10">
        <f t="shared" si="5"/>
        <v>0</v>
      </c>
      <c r="L13" s="10">
        <f t="shared" si="5"/>
        <v>0</v>
      </c>
      <c r="M13" s="10">
        <f t="shared" si="5"/>
        <v>0</v>
      </c>
      <c r="N13" s="10">
        <f t="shared" si="5"/>
        <v>0</v>
      </c>
      <c r="O13" s="24">
        <v>0.75</v>
      </c>
      <c r="P13" s="10">
        <f t="shared" si="5"/>
        <v>2</v>
      </c>
      <c r="Q13" s="10">
        <f t="shared" si="5"/>
        <v>0</v>
      </c>
      <c r="R13" s="24">
        <f>PI()</f>
        <v>3.1415926535897931</v>
      </c>
      <c r="S13" s="10">
        <f t="shared" si="5"/>
        <v>3</v>
      </c>
      <c r="T13" s="11">
        <f t="shared" si="5"/>
        <v>8</v>
      </c>
    </row>
    <row r="15" spans="1:20" x14ac:dyDescent="0.3">
      <c r="I15">
        <v>10</v>
      </c>
      <c r="J15">
        <v>5</v>
      </c>
      <c r="K15">
        <v>10</v>
      </c>
      <c r="L15">
        <v>5</v>
      </c>
      <c r="M15">
        <v>10</v>
      </c>
      <c r="N15">
        <v>40</v>
      </c>
      <c r="O15">
        <v>60</v>
      </c>
      <c r="P15">
        <v>20</v>
      </c>
      <c r="Q15">
        <v>50</v>
      </c>
      <c r="R15">
        <v>5</v>
      </c>
      <c r="S15">
        <v>10</v>
      </c>
      <c r="T15">
        <v>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88E6-8DD0-45E2-9557-3E625100F20D}">
  <dimension ref="A1:T13"/>
  <sheetViews>
    <sheetView topLeftCell="D1" zoomScale="82" workbookViewId="0">
      <selection activeCell="I14" sqref="I14:S23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6</v>
      </c>
      <c r="C2">
        <v>200</v>
      </c>
      <c r="D2">
        <v>230</v>
      </c>
      <c r="E2">
        <v>40</v>
      </c>
      <c r="F2">
        <v>623</v>
      </c>
      <c r="G2">
        <v>90.16</v>
      </c>
      <c r="H2">
        <v>139.33925199999999</v>
      </c>
      <c r="I2">
        <v>0</v>
      </c>
      <c r="J2">
        <v>3</v>
      </c>
      <c r="K2">
        <v>0</v>
      </c>
      <c r="L2">
        <v>2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4</v>
      </c>
      <c r="T2">
        <v>6</v>
      </c>
    </row>
    <row r="3" spans="1:20" x14ac:dyDescent="0.3">
      <c r="A3">
        <v>2</v>
      </c>
      <c r="B3">
        <v>6</v>
      </c>
      <c r="C3">
        <v>200</v>
      </c>
      <c r="D3">
        <v>250</v>
      </c>
      <c r="E3">
        <v>40</v>
      </c>
      <c r="F3">
        <v>623</v>
      </c>
      <c r="G3">
        <v>90.16</v>
      </c>
      <c r="H3">
        <v>252.064629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2</v>
      </c>
      <c r="S3">
        <v>4</v>
      </c>
      <c r="T3">
        <v>6</v>
      </c>
    </row>
    <row r="4" spans="1:20" x14ac:dyDescent="0.3">
      <c r="A4">
        <v>3</v>
      </c>
      <c r="B4">
        <v>10</v>
      </c>
      <c r="C4">
        <v>200</v>
      </c>
      <c r="D4">
        <v>305</v>
      </c>
      <c r="E4">
        <v>32</v>
      </c>
      <c r="F4">
        <v>650</v>
      </c>
      <c r="G4">
        <v>88</v>
      </c>
      <c r="H4">
        <v>916.37999200000002</v>
      </c>
      <c r="I4">
        <v>0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4</v>
      </c>
      <c r="T4">
        <v>10</v>
      </c>
    </row>
    <row r="5" spans="1:20" x14ac:dyDescent="0.3">
      <c r="A5">
        <v>4</v>
      </c>
      <c r="B5">
        <v>8</v>
      </c>
      <c r="C5">
        <v>200</v>
      </c>
      <c r="D5">
        <v>300</v>
      </c>
      <c r="E5">
        <v>33</v>
      </c>
      <c r="F5">
        <v>641</v>
      </c>
      <c r="G5">
        <v>88.72</v>
      </c>
      <c r="H5">
        <v>1132.3597400000001</v>
      </c>
      <c r="I5">
        <v>0</v>
      </c>
      <c r="J5">
        <v>2</v>
      </c>
      <c r="K5">
        <v>1</v>
      </c>
      <c r="L5">
        <v>2</v>
      </c>
      <c r="M5">
        <v>0</v>
      </c>
      <c r="N5">
        <v>0</v>
      </c>
      <c r="O5">
        <v>1</v>
      </c>
      <c r="P5">
        <v>0</v>
      </c>
      <c r="Q5">
        <v>0</v>
      </c>
      <c r="R5">
        <v>2</v>
      </c>
      <c r="S5">
        <v>4</v>
      </c>
      <c r="T5">
        <v>8</v>
      </c>
    </row>
    <row r="6" spans="1:20" ht="15" thickBot="1" x14ac:dyDescent="0.35"/>
    <row r="7" spans="1:20" ht="15" thickBot="1" x14ac:dyDescent="0.35">
      <c r="A7" t="s">
        <v>0</v>
      </c>
      <c r="B7" s="1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s="4" t="s">
        <v>8</v>
      </c>
      <c r="J7" s="5" t="s">
        <v>9</v>
      </c>
      <c r="K7" s="5" t="s">
        <v>10</v>
      </c>
      <c r="L7" s="5" t="s">
        <v>11</v>
      </c>
      <c r="M7" s="5" t="s">
        <v>12</v>
      </c>
      <c r="N7" s="5" t="s">
        <v>13</v>
      </c>
      <c r="O7" s="5" t="s">
        <v>14</v>
      </c>
      <c r="P7" s="5" t="s">
        <v>15</v>
      </c>
      <c r="Q7" s="5" t="s">
        <v>16</v>
      </c>
      <c r="R7" s="5" t="s">
        <v>17</v>
      </c>
      <c r="S7" s="5" t="s">
        <v>18</v>
      </c>
      <c r="T7" s="6" t="s">
        <v>19</v>
      </c>
    </row>
    <row r="8" spans="1:20" x14ac:dyDescent="0.3">
      <c r="A8">
        <v>1</v>
      </c>
      <c r="B8" s="23">
        <v>38</v>
      </c>
      <c r="D8" s="12" cm="1">
        <f t="array" ref="D8">SUM(I8:T8*I$13:T$13)</f>
        <v>520</v>
      </c>
      <c r="E8" s="12">
        <f>MIN(FLOOR(10000/D8,1),40)</f>
        <v>19</v>
      </c>
      <c r="I8" s="4">
        <f>I2</f>
        <v>0</v>
      </c>
      <c r="J8" s="20">
        <v>16</v>
      </c>
      <c r="K8" s="5">
        <f>K2</f>
        <v>0</v>
      </c>
      <c r="L8" s="20">
        <v>14</v>
      </c>
      <c r="M8" s="5">
        <f>M2</f>
        <v>0</v>
      </c>
      <c r="N8" s="20">
        <v>4</v>
      </c>
      <c r="O8" s="5">
        <f>O2</f>
        <v>0</v>
      </c>
      <c r="P8" s="5">
        <f>P2</f>
        <v>0</v>
      </c>
      <c r="Q8" s="5">
        <f>Q2</f>
        <v>0</v>
      </c>
      <c r="R8" s="20">
        <v>10</v>
      </c>
      <c r="S8" s="5">
        <f>S2</f>
        <v>4</v>
      </c>
      <c r="T8" s="6">
        <f>T2</f>
        <v>6</v>
      </c>
    </row>
    <row r="9" spans="1:20" x14ac:dyDescent="0.3">
      <c r="A9">
        <v>2</v>
      </c>
      <c r="B9" s="23">
        <v>33</v>
      </c>
      <c r="D9" s="12" cm="1">
        <f t="array" ref="D9">SUM(I9:T9*I$13:T$13)</f>
        <v>492.5</v>
      </c>
      <c r="E9" s="12">
        <f t="shared" ref="E9:E11" si="0">MIN(FLOOR(10000/D9,1),40)</f>
        <v>20</v>
      </c>
      <c r="I9" s="7">
        <f t="shared" ref="I9:T11" si="1">I3</f>
        <v>0</v>
      </c>
      <c r="J9" s="12">
        <v>7</v>
      </c>
      <c r="K9" s="12">
        <v>3</v>
      </c>
      <c r="L9" s="12">
        <v>2.5</v>
      </c>
      <c r="M9">
        <f t="shared" si="1"/>
        <v>0</v>
      </c>
      <c r="N9">
        <f t="shared" si="1"/>
        <v>0</v>
      </c>
      <c r="O9" s="12">
        <f>0.5*(2.25+2.25+3.25)</f>
        <v>3.875</v>
      </c>
      <c r="P9">
        <f t="shared" si="1"/>
        <v>0</v>
      </c>
      <c r="Q9">
        <f t="shared" si="1"/>
        <v>0</v>
      </c>
      <c r="R9" s="12">
        <f>0.75*2+1*1.5+4*(0.5*0.75)</f>
        <v>4.5</v>
      </c>
      <c r="S9">
        <f t="shared" si="1"/>
        <v>4</v>
      </c>
      <c r="T9" s="8">
        <f t="shared" si="1"/>
        <v>6</v>
      </c>
    </row>
    <row r="10" spans="1:20" x14ac:dyDescent="0.3">
      <c r="A10">
        <v>3</v>
      </c>
      <c r="B10" s="23">
        <v>17</v>
      </c>
      <c r="D10" s="12" cm="1">
        <f t="array" ref="D10">SUM(I10:T10*I$13:T$13)</f>
        <v>441.25</v>
      </c>
      <c r="E10" s="12">
        <f t="shared" si="0"/>
        <v>22</v>
      </c>
      <c r="I10" s="7">
        <f t="shared" si="1"/>
        <v>0</v>
      </c>
      <c r="J10" s="12">
        <v>3</v>
      </c>
      <c r="K10" s="12">
        <v>2</v>
      </c>
      <c r="L10" s="12">
        <v>5.5</v>
      </c>
      <c r="M10">
        <f t="shared" si="1"/>
        <v>0</v>
      </c>
      <c r="N10" s="19">
        <v>0</v>
      </c>
      <c r="O10" s="12">
        <v>2</v>
      </c>
      <c r="P10">
        <f t="shared" si="1"/>
        <v>0</v>
      </c>
      <c r="Q10">
        <f t="shared" si="1"/>
        <v>0</v>
      </c>
      <c r="R10" s="12">
        <f>1.5*2.5</f>
        <v>3.75</v>
      </c>
      <c r="S10">
        <f t="shared" si="1"/>
        <v>4</v>
      </c>
      <c r="T10" s="8">
        <f t="shared" si="1"/>
        <v>10</v>
      </c>
    </row>
    <row r="11" spans="1:20" ht="15" thickBot="1" x14ac:dyDescent="0.35">
      <c r="A11">
        <v>4</v>
      </c>
      <c r="B11" s="22">
        <v>52</v>
      </c>
      <c r="D11" s="12" cm="1">
        <f t="array" ref="D11">SUM(I11:T11*I$13:T$13)</f>
        <v>630</v>
      </c>
      <c r="E11" s="12">
        <f t="shared" si="0"/>
        <v>15</v>
      </c>
      <c r="I11" s="9">
        <f t="shared" si="1"/>
        <v>0</v>
      </c>
      <c r="J11" s="13">
        <v>15</v>
      </c>
      <c r="K11" s="13">
        <v>2</v>
      </c>
      <c r="L11" s="13">
        <v>12</v>
      </c>
      <c r="M11" s="10">
        <f t="shared" si="1"/>
        <v>0</v>
      </c>
      <c r="N11" s="10">
        <f t="shared" si="1"/>
        <v>0</v>
      </c>
      <c r="O11" s="13">
        <v>4</v>
      </c>
      <c r="P11" s="10">
        <f t="shared" si="1"/>
        <v>0</v>
      </c>
      <c r="Q11" s="10">
        <f t="shared" si="1"/>
        <v>0</v>
      </c>
      <c r="R11" s="13">
        <v>7</v>
      </c>
      <c r="S11" s="10">
        <f t="shared" si="1"/>
        <v>4</v>
      </c>
      <c r="T11" s="11">
        <f t="shared" si="1"/>
        <v>8</v>
      </c>
    </row>
    <row r="13" spans="1:20" x14ac:dyDescent="0.3">
      <c r="I13">
        <v>10</v>
      </c>
      <c r="J13">
        <v>5</v>
      </c>
      <c r="K13">
        <v>10</v>
      </c>
      <c r="L13">
        <v>5</v>
      </c>
      <c r="M13">
        <v>10</v>
      </c>
      <c r="N13">
        <v>40</v>
      </c>
      <c r="O13">
        <v>60</v>
      </c>
      <c r="P13">
        <v>20</v>
      </c>
      <c r="Q13">
        <v>50</v>
      </c>
      <c r="R13">
        <v>5</v>
      </c>
      <c r="S13">
        <v>10</v>
      </c>
      <c r="T13">
        <v>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A93C-0962-490F-9424-A694AB694709}">
  <dimension ref="A1:T11"/>
  <sheetViews>
    <sheetView topLeftCell="E1" zoomScale="64" workbookViewId="0">
      <selection activeCell="U7" sqref="U7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14</v>
      </c>
      <c r="C2">
        <v>200</v>
      </c>
      <c r="D2">
        <v>465</v>
      </c>
      <c r="E2">
        <v>21</v>
      </c>
      <c r="F2">
        <v>768</v>
      </c>
      <c r="G2">
        <v>78.56</v>
      </c>
      <c r="H2">
        <v>907.79948999999999</v>
      </c>
      <c r="I2">
        <v>0</v>
      </c>
      <c r="J2">
        <v>6</v>
      </c>
      <c r="K2">
        <v>2</v>
      </c>
      <c r="L2">
        <v>0</v>
      </c>
      <c r="M2">
        <v>1</v>
      </c>
      <c r="N2">
        <v>1</v>
      </c>
      <c r="O2">
        <v>0</v>
      </c>
      <c r="P2">
        <v>0</v>
      </c>
      <c r="Q2">
        <v>1</v>
      </c>
      <c r="R2">
        <v>1</v>
      </c>
      <c r="S2">
        <v>3</v>
      </c>
      <c r="T2">
        <v>14</v>
      </c>
    </row>
    <row r="3" spans="1:20" x14ac:dyDescent="0.3">
      <c r="A3">
        <v>2</v>
      </c>
      <c r="B3">
        <v>14</v>
      </c>
      <c r="C3">
        <v>200</v>
      </c>
      <c r="D3">
        <v>355</v>
      </c>
      <c r="E3">
        <v>28</v>
      </c>
      <c r="F3">
        <v>647</v>
      </c>
      <c r="G3">
        <v>88.24</v>
      </c>
      <c r="H3">
        <v>131.69397900000001</v>
      </c>
      <c r="I3">
        <v>0</v>
      </c>
      <c r="J3">
        <v>3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3</v>
      </c>
      <c r="T3">
        <v>14</v>
      </c>
    </row>
    <row r="4" spans="1:20" x14ac:dyDescent="0.3">
      <c r="A4">
        <v>3</v>
      </c>
      <c r="B4">
        <v>14</v>
      </c>
      <c r="C4">
        <v>280</v>
      </c>
      <c r="D4">
        <v>485</v>
      </c>
      <c r="E4">
        <v>20</v>
      </c>
      <c r="F4">
        <v>585</v>
      </c>
      <c r="G4">
        <v>93.199999999999989</v>
      </c>
      <c r="H4">
        <v>349.64073999999999</v>
      </c>
      <c r="I4">
        <v>1</v>
      </c>
      <c r="J4">
        <v>3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3</v>
      </c>
      <c r="T4">
        <v>20</v>
      </c>
    </row>
    <row r="5" spans="1:20" ht="15" thickBot="1" x14ac:dyDescent="0.35"/>
    <row r="6" spans="1:20" ht="15" thickBot="1" x14ac:dyDescent="0.35">
      <c r="A6" t="s">
        <v>0</v>
      </c>
      <c r="B6" s="1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s="4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18</v>
      </c>
      <c r="T6" s="6" t="s">
        <v>19</v>
      </c>
    </row>
    <row r="7" spans="1:20" x14ac:dyDescent="0.3">
      <c r="A7">
        <v>1</v>
      </c>
      <c r="B7" s="23">
        <v>50</v>
      </c>
      <c r="D7" s="12" cm="1">
        <f t="array" ref="D7">SUM(I7:T7*I$11:T$11)</f>
        <v>782.5</v>
      </c>
      <c r="E7" s="12">
        <f>FLOOR(10000/D7,1)</f>
        <v>12</v>
      </c>
      <c r="I7" s="4">
        <f>I2</f>
        <v>0</v>
      </c>
      <c r="J7" s="20">
        <v>30</v>
      </c>
      <c r="K7" s="20">
        <v>7</v>
      </c>
      <c r="L7" s="20">
        <v>7</v>
      </c>
      <c r="M7" s="15">
        <v>0</v>
      </c>
      <c r="N7" s="20">
        <v>2</v>
      </c>
      <c r="O7" s="5">
        <f t="shared" ref="O7:S7" si="0">O2</f>
        <v>0</v>
      </c>
      <c r="P7" s="5">
        <f t="shared" si="0"/>
        <v>0</v>
      </c>
      <c r="Q7" s="5">
        <f t="shared" si="0"/>
        <v>1</v>
      </c>
      <c r="R7" s="20">
        <f>3.5*5</f>
        <v>17.5</v>
      </c>
      <c r="S7" s="5">
        <f t="shared" si="0"/>
        <v>3</v>
      </c>
      <c r="T7" s="6">
        <v>14</v>
      </c>
    </row>
    <row r="8" spans="1:20" x14ac:dyDescent="0.3">
      <c r="A8">
        <v>2</v>
      </c>
      <c r="B8" s="23">
        <v>35</v>
      </c>
      <c r="D8" s="12" cm="1">
        <f t="array" ref="D8">SUM(I8:T8*I$11:T$11)</f>
        <v>590</v>
      </c>
      <c r="E8" s="12">
        <f>FLOOR(10000/D8,1)</f>
        <v>16</v>
      </c>
      <c r="I8" s="7">
        <f t="shared" ref="I8:T9" si="1">I3</f>
        <v>0</v>
      </c>
      <c r="J8" s="12">
        <v>14</v>
      </c>
      <c r="K8" s="12">
        <v>5.5</v>
      </c>
      <c r="L8" s="12">
        <v>9</v>
      </c>
      <c r="M8">
        <f t="shared" si="1"/>
        <v>0</v>
      </c>
      <c r="N8">
        <f t="shared" si="1"/>
        <v>0</v>
      </c>
      <c r="O8">
        <f t="shared" si="1"/>
        <v>0</v>
      </c>
      <c r="P8">
        <f t="shared" si="1"/>
        <v>0</v>
      </c>
      <c r="Q8">
        <f t="shared" si="1"/>
        <v>0</v>
      </c>
      <c r="R8" s="12">
        <f>4*5.5</f>
        <v>22</v>
      </c>
      <c r="S8">
        <f t="shared" si="1"/>
        <v>3</v>
      </c>
      <c r="T8" s="8">
        <f t="shared" si="1"/>
        <v>14</v>
      </c>
    </row>
    <row r="9" spans="1:20" ht="15" thickBot="1" x14ac:dyDescent="0.35">
      <c r="A9">
        <v>3</v>
      </c>
      <c r="B9" s="23">
        <v>20</v>
      </c>
      <c r="D9" s="12" cm="1">
        <f t="array" ref="D9">SUM(I9:T9*I$11:T$11)</f>
        <v>742.5</v>
      </c>
      <c r="E9" s="12">
        <f>FLOOR(10000/D9,1)</f>
        <v>13</v>
      </c>
      <c r="I9" s="21">
        <v>7</v>
      </c>
      <c r="J9" s="13">
        <v>14</v>
      </c>
      <c r="K9" s="13">
        <v>4.75</v>
      </c>
      <c r="L9" s="13">
        <v>13</v>
      </c>
      <c r="M9" s="10">
        <f t="shared" si="1"/>
        <v>0</v>
      </c>
      <c r="N9" s="10">
        <f t="shared" si="1"/>
        <v>0</v>
      </c>
      <c r="O9" s="10">
        <f t="shared" si="1"/>
        <v>0</v>
      </c>
      <c r="P9" s="10">
        <f t="shared" si="1"/>
        <v>0</v>
      </c>
      <c r="Q9" s="10">
        <f t="shared" si="1"/>
        <v>0</v>
      </c>
      <c r="R9" s="13">
        <f>3*4</f>
        <v>12</v>
      </c>
      <c r="S9" s="10">
        <f t="shared" si="1"/>
        <v>3</v>
      </c>
      <c r="T9" s="11">
        <f t="shared" si="1"/>
        <v>20</v>
      </c>
    </row>
    <row r="11" spans="1:20" x14ac:dyDescent="0.3">
      <c r="I11">
        <v>10</v>
      </c>
      <c r="J11">
        <v>5</v>
      </c>
      <c r="K11">
        <v>10</v>
      </c>
      <c r="L11">
        <v>5</v>
      </c>
      <c r="M11">
        <v>10</v>
      </c>
      <c r="N11">
        <v>40</v>
      </c>
      <c r="O11">
        <v>60</v>
      </c>
      <c r="P11">
        <v>20</v>
      </c>
      <c r="Q11">
        <v>50</v>
      </c>
      <c r="R11">
        <v>5</v>
      </c>
      <c r="S11">
        <v>10</v>
      </c>
      <c r="T11">
        <v>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5B7B-AFC6-4704-B4DB-FF1124E72CC6}">
  <dimension ref="A1:T17"/>
  <sheetViews>
    <sheetView zoomScale="46" workbookViewId="0">
      <selection activeCell="B15" sqref="B15"/>
    </sheetView>
  </sheetViews>
  <sheetFormatPr defaultRowHeight="14.4" x14ac:dyDescent="0.3"/>
  <cols>
    <col min="9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9</v>
      </c>
      <c r="C2">
        <v>200</v>
      </c>
      <c r="D2">
        <v>330</v>
      </c>
      <c r="E2">
        <v>30</v>
      </c>
      <c r="F2">
        <v>644</v>
      </c>
      <c r="G2">
        <v>88.48</v>
      </c>
      <c r="H2">
        <v>2483.7022860000002</v>
      </c>
      <c r="I2">
        <v>3.5</v>
      </c>
      <c r="J2">
        <v>0</v>
      </c>
      <c r="K2">
        <v>0.75</v>
      </c>
      <c r="L2">
        <v>0</v>
      </c>
      <c r="M2">
        <v>1.75</v>
      </c>
      <c r="N2">
        <v>1.5</v>
      </c>
      <c r="O2">
        <v>0</v>
      </c>
      <c r="P2">
        <v>0</v>
      </c>
      <c r="Q2">
        <v>0</v>
      </c>
      <c r="R2">
        <v>0</v>
      </c>
      <c r="S2">
        <v>3</v>
      </c>
      <c r="T2">
        <v>9</v>
      </c>
    </row>
    <row r="3" spans="1:20" x14ac:dyDescent="0.3">
      <c r="A3">
        <v>2</v>
      </c>
      <c r="B3">
        <v>14</v>
      </c>
      <c r="C3">
        <v>200</v>
      </c>
      <c r="D3">
        <v>480</v>
      </c>
      <c r="E3">
        <v>20</v>
      </c>
      <c r="F3">
        <v>768</v>
      </c>
      <c r="G3">
        <v>78.56</v>
      </c>
      <c r="H3">
        <v>2200.4797579999999</v>
      </c>
      <c r="I3">
        <v>3</v>
      </c>
      <c r="J3">
        <v>0</v>
      </c>
      <c r="K3">
        <v>0.5</v>
      </c>
      <c r="L3">
        <v>0</v>
      </c>
      <c r="M3">
        <v>3.5</v>
      </c>
      <c r="N3">
        <v>2.5</v>
      </c>
      <c r="O3">
        <v>0</v>
      </c>
      <c r="P3">
        <v>0</v>
      </c>
      <c r="Q3">
        <v>0</v>
      </c>
      <c r="R3">
        <v>0</v>
      </c>
      <c r="S3">
        <v>3</v>
      </c>
      <c r="T3">
        <v>14</v>
      </c>
    </row>
    <row r="4" spans="1:20" x14ac:dyDescent="0.3">
      <c r="A4">
        <v>3</v>
      </c>
      <c r="B4">
        <v>14</v>
      </c>
      <c r="C4">
        <v>200</v>
      </c>
      <c r="D4">
        <v>432.5</v>
      </c>
      <c r="E4">
        <v>23</v>
      </c>
      <c r="F4">
        <v>729</v>
      </c>
      <c r="G4">
        <v>81.679999999999993</v>
      </c>
      <c r="H4">
        <v>2481.750497</v>
      </c>
      <c r="I4">
        <v>0</v>
      </c>
      <c r="J4">
        <v>1.25</v>
      </c>
      <c r="K4">
        <v>0.25</v>
      </c>
      <c r="L4">
        <v>1</v>
      </c>
      <c r="M4">
        <v>0</v>
      </c>
      <c r="N4">
        <v>1.25</v>
      </c>
      <c r="O4">
        <v>0.5</v>
      </c>
      <c r="P4">
        <v>0</v>
      </c>
      <c r="Q4">
        <v>0</v>
      </c>
      <c r="R4">
        <v>3.75</v>
      </c>
      <c r="S4">
        <v>4</v>
      </c>
      <c r="T4">
        <v>14</v>
      </c>
    </row>
    <row r="5" spans="1:20" x14ac:dyDescent="0.3">
      <c r="A5">
        <v>4</v>
      </c>
      <c r="B5">
        <v>14</v>
      </c>
      <c r="C5">
        <v>310</v>
      </c>
      <c r="D5">
        <v>595</v>
      </c>
      <c r="E5">
        <v>16</v>
      </c>
      <c r="F5">
        <v>648</v>
      </c>
      <c r="G5">
        <v>88.16</v>
      </c>
      <c r="H5">
        <v>490.238879</v>
      </c>
      <c r="I5">
        <v>0</v>
      </c>
      <c r="J5">
        <v>1.25</v>
      </c>
      <c r="K5">
        <v>0.25</v>
      </c>
      <c r="L5">
        <v>1.5</v>
      </c>
      <c r="M5">
        <v>0</v>
      </c>
      <c r="N5">
        <v>1.25</v>
      </c>
      <c r="O5">
        <v>0.5</v>
      </c>
      <c r="P5">
        <v>0</v>
      </c>
      <c r="Q5">
        <v>0</v>
      </c>
      <c r="R5">
        <v>3.75</v>
      </c>
      <c r="S5">
        <v>4</v>
      </c>
      <c r="T5">
        <v>22</v>
      </c>
    </row>
    <row r="6" spans="1:20" x14ac:dyDescent="0.3">
      <c r="A6">
        <v>5</v>
      </c>
      <c r="B6">
        <v>14</v>
      </c>
      <c r="C6">
        <v>310</v>
      </c>
      <c r="D6">
        <v>617.5</v>
      </c>
      <c r="E6">
        <v>16</v>
      </c>
      <c r="F6">
        <v>648</v>
      </c>
      <c r="G6">
        <v>88.16</v>
      </c>
      <c r="H6">
        <v>378.37840999999997</v>
      </c>
      <c r="I6">
        <v>0</v>
      </c>
      <c r="J6">
        <v>1.25</v>
      </c>
      <c r="K6">
        <v>0.5</v>
      </c>
      <c r="L6">
        <v>1.5</v>
      </c>
      <c r="M6">
        <v>0</v>
      </c>
      <c r="N6">
        <v>1.25</v>
      </c>
      <c r="O6">
        <v>0.5</v>
      </c>
      <c r="P6">
        <v>0</v>
      </c>
      <c r="Q6">
        <v>0</v>
      </c>
      <c r="R6">
        <v>3.75</v>
      </c>
      <c r="S6">
        <v>6</v>
      </c>
      <c r="T6">
        <v>22</v>
      </c>
    </row>
    <row r="7" spans="1:20" x14ac:dyDescent="0.3">
      <c r="A7">
        <v>6</v>
      </c>
      <c r="B7">
        <v>14</v>
      </c>
      <c r="C7">
        <v>350</v>
      </c>
      <c r="D7">
        <v>645</v>
      </c>
      <c r="E7">
        <v>15</v>
      </c>
      <c r="F7">
        <v>696</v>
      </c>
      <c r="G7">
        <v>84.32</v>
      </c>
      <c r="H7">
        <v>1230.894436</v>
      </c>
      <c r="I7">
        <v>0</v>
      </c>
      <c r="J7">
        <v>1</v>
      </c>
      <c r="K7">
        <v>0.25</v>
      </c>
      <c r="L7">
        <v>1.75</v>
      </c>
      <c r="M7">
        <v>0</v>
      </c>
      <c r="N7">
        <v>1.25</v>
      </c>
      <c r="O7">
        <v>0.5</v>
      </c>
      <c r="P7">
        <v>0</v>
      </c>
      <c r="Q7">
        <v>0</v>
      </c>
      <c r="R7">
        <v>3.75</v>
      </c>
      <c r="S7">
        <v>3</v>
      </c>
      <c r="T7">
        <v>25</v>
      </c>
    </row>
    <row r="8" spans="1:20" ht="15" thickBot="1" x14ac:dyDescent="0.35"/>
    <row r="9" spans="1:20" ht="15" thickBot="1" x14ac:dyDescent="0.35">
      <c r="A9" t="s">
        <v>0</v>
      </c>
      <c r="B9" s="1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4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  <c r="P9" s="5" t="s">
        <v>15</v>
      </c>
      <c r="Q9" s="5" t="s">
        <v>16</v>
      </c>
      <c r="R9" s="5" t="s">
        <v>17</v>
      </c>
      <c r="S9" s="5" t="s">
        <v>18</v>
      </c>
      <c r="T9" s="6" t="s">
        <v>19</v>
      </c>
    </row>
    <row r="10" spans="1:20" x14ac:dyDescent="0.3">
      <c r="A10">
        <v>1</v>
      </c>
      <c r="B10" s="2">
        <v>9</v>
      </c>
      <c r="D10" s="19" cm="1">
        <f t="array" ref="D10">SUM(I10:T10*I$17:T$17)</f>
        <v>327.5</v>
      </c>
      <c r="E10" s="14">
        <f>FLOOR(10000/D10,1)</f>
        <v>30</v>
      </c>
      <c r="I10" s="4">
        <v>3.5</v>
      </c>
      <c r="J10" s="5">
        <f t="shared" ref="J10:T10" si="0">J2</f>
        <v>0</v>
      </c>
      <c r="K10" s="15">
        <v>0.5</v>
      </c>
      <c r="L10" s="5">
        <f t="shared" si="0"/>
        <v>0</v>
      </c>
      <c r="M10" s="5">
        <f t="shared" si="0"/>
        <v>1.75</v>
      </c>
      <c r="N10" s="5">
        <f t="shared" si="0"/>
        <v>1.5</v>
      </c>
      <c r="O10" s="5">
        <f t="shared" si="0"/>
        <v>0</v>
      </c>
      <c r="P10" s="5">
        <f t="shared" si="0"/>
        <v>0</v>
      </c>
      <c r="Q10" s="5">
        <f t="shared" si="0"/>
        <v>0</v>
      </c>
      <c r="R10" s="5">
        <f t="shared" si="0"/>
        <v>0</v>
      </c>
      <c r="S10" s="5">
        <f t="shared" si="0"/>
        <v>3</v>
      </c>
      <c r="T10" s="6">
        <f t="shared" si="0"/>
        <v>9</v>
      </c>
    </row>
    <row r="11" spans="1:20" x14ac:dyDescent="0.3">
      <c r="A11">
        <v>2</v>
      </c>
      <c r="B11" s="16">
        <v>15</v>
      </c>
      <c r="D11" s="14" cm="1">
        <f t="array" ref="D11">SUM(I11:T11*I$17:T$17)</f>
        <v>480</v>
      </c>
      <c r="E11" s="14">
        <f t="shared" ref="E11:E13" si="1">FLOOR(10000/D11,1)</f>
        <v>20</v>
      </c>
      <c r="I11" s="7">
        <f t="shared" ref="I11:T15" si="2">I3</f>
        <v>3</v>
      </c>
      <c r="J11">
        <f t="shared" si="2"/>
        <v>0</v>
      </c>
      <c r="K11">
        <f t="shared" si="2"/>
        <v>0.5</v>
      </c>
      <c r="L11">
        <f t="shared" si="2"/>
        <v>0</v>
      </c>
      <c r="M11">
        <f t="shared" si="2"/>
        <v>3.5</v>
      </c>
      <c r="N11">
        <f t="shared" si="2"/>
        <v>2.5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3</v>
      </c>
      <c r="T11" s="8">
        <f t="shared" si="2"/>
        <v>14</v>
      </c>
    </row>
    <row r="12" spans="1:20" x14ac:dyDescent="0.3">
      <c r="A12">
        <v>3</v>
      </c>
      <c r="B12" s="16">
        <v>15</v>
      </c>
      <c r="D12" s="14" cm="1">
        <f t="array" ref="D12">SUM(I12:T12*I$17:T$17)</f>
        <v>432.5</v>
      </c>
      <c r="E12" s="14">
        <f t="shared" si="1"/>
        <v>23</v>
      </c>
      <c r="I12" s="7">
        <f t="shared" si="2"/>
        <v>0</v>
      </c>
      <c r="J12">
        <f t="shared" si="2"/>
        <v>1.25</v>
      </c>
      <c r="K12">
        <f t="shared" si="2"/>
        <v>0.25</v>
      </c>
      <c r="L12">
        <f t="shared" si="2"/>
        <v>1</v>
      </c>
      <c r="M12">
        <f t="shared" si="2"/>
        <v>0</v>
      </c>
      <c r="N12">
        <f t="shared" si="2"/>
        <v>1.25</v>
      </c>
      <c r="O12">
        <f t="shared" si="2"/>
        <v>0.5</v>
      </c>
      <c r="P12">
        <f t="shared" si="2"/>
        <v>0</v>
      </c>
      <c r="Q12">
        <f t="shared" si="2"/>
        <v>0</v>
      </c>
      <c r="R12">
        <f t="shared" si="2"/>
        <v>3.75</v>
      </c>
      <c r="S12">
        <f t="shared" si="2"/>
        <v>4</v>
      </c>
      <c r="T12" s="8">
        <f t="shared" si="2"/>
        <v>14</v>
      </c>
    </row>
    <row r="13" spans="1:20" x14ac:dyDescent="0.3">
      <c r="A13">
        <v>4</v>
      </c>
      <c r="B13" s="16">
        <v>15</v>
      </c>
      <c r="D13" s="14" cm="1">
        <f t="array" ref="D13">SUM(I13:T13*I$17:T$17)</f>
        <v>595</v>
      </c>
      <c r="E13" s="14">
        <f t="shared" si="1"/>
        <v>16</v>
      </c>
      <c r="I13" s="7">
        <f t="shared" si="2"/>
        <v>0</v>
      </c>
      <c r="J13">
        <f t="shared" si="2"/>
        <v>1.25</v>
      </c>
      <c r="K13">
        <f t="shared" si="2"/>
        <v>0.25</v>
      </c>
      <c r="L13">
        <f t="shared" si="2"/>
        <v>1.5</v>
      </c>
      <c r="M13">
        <f t="shared" si="2"/>
        <v>0</v>
      </c>
      <c r="N13">
        <f t="shared" si="2"/>
        <v>1.25</v>
      </c>
      <c r="O13">
        <f t="shared" si="2"/>
        <v>0.5</v>
      </c>
      <c r="P13">
        <f t="shared" si="2"/>
        <v>0</v>
      </c>
      <c r="Q13">
        <f t="shared" si="2"/>
        <v>0</v>
      </c>
      <c r="R13">
        <f t="shared" si="2"/>
        <v>3.75</v>
      </c>
      <c r="S13">
        <f t="shared" si="2"/>
        <v>4</v>
      </c>
      <c r="T13" s="8">
        <f t="shared" si="2"/>
        <v>22</v>
      </c>
    </row>
    <row r="14" spans="1:20" ht="15" thickBot="1" x14ac:dyDescent="0.35">
      <c r="A14">
        <v>5</v>
      </c>
      <c r="B14" s="18">
        <v>15</v>
      </c>
      <c r="D14" s="14" cm="1">
        <f t="array" ref="D14">SUM(I14:T14*I$17:T$17)</f>
        <v>617.5</v>
      </c>
      <c r="E14" s="14">
        <f>FLOOR(10000/D14,1)</f>
        <v>16</v>
      </c>
      <c r="I14" s="9">
        <f t="shared" si="2"/>
        <v>0</v>
      </c>
      <c r="J14" s="10">
        <f t="shared" si="2"/>
        <v>1.25</v>
      </c>
      <c r="K14" s="10">
        <f t="shared" si="2"/>
        <v>0.5</v>
      </c>
      <c r="L14" s="10">
        <f t="shared" si="2"/>
        <v>1.5</v>
      </c>
      <c r="M14" s="10">
        <f t="shared" si="2"/>
        <v>0</v>
      </c>
      <c r="N14" s="10">
        <f t="shared" si="2"/>
        <v>1.25</v>
      </c>
      <c r="O14" s="10">
        <f t="shared" si="2"/>
        <v>0.5</v>
      </c>
      <c r="P14" s="10">
        <f t="shared" si="2"/>
        <v>0</v>
      </c>
      <c r="Q14" s="10">
        <f t="shared" si="2"/>
        <v>0</v>
      </c>
      <c r="R14" s="10">
        <f t="shared" si="2"/>
        <v>3.75</v>
      </c>
      <c r="S14" s="10">
        <f t="shared" si="2"/>
        <v>6</v>
      </c>
      <c r="T14" s="11">
        <f t="shared" si="2"/>
        <v>22</v>
      </c>
    </row>
    <row r="15" spans="1:20" ht="15" thickBot="1" x14ac:dyDescent="0.35">
      <c r="A15">
        <v>6</v>
      </c>
      <c r="B15" s="19">
        <v>15</v>
      </c>
      <c r="D15" s="14" cm="1">
        <f t="array" ref="D15">SUM(I15:T15*I$17:T$17)</f>
        <v>645</v>
      </c>
      <c r="E15" s="14">
        <f>FLOOR(10000/D15,1)</f>
        <v>15</v>
      </c>
      <c r="I15" s="9">
        <f t="shared" si="2"/>
        <v>0</v>
      </c>
      <c r="J15" s="10">
        <f t="shared" si="2"/>
        <v>1</v>
      </c>
      <c r="K15" s="10">
        <f t="shared" si="2"/>
        <v>0.25</v>
      </c>
      <c r="L15" s="10">
        <f t="shared" si="2"/>
        <v>1.75</v>
      </c>
      <c r="M15" s="10">
        <f t="shared" si="2"/>
        <v>0</v>
      </c>
      <c r="N15" s="10">
        <f t="shared" si="2"/>
        <v>1.25</v>
      </c>
      <c r="O15" s="10">
        <f t="shared" si="2"/>
        <v>0.5</v>
      </c>
      <c r="P15" s="10">
        <f t="shared" si="2"/>
        <v>0</v>
      </c>
      <c r="Q15" s="10">
        <f t="shared" si="2"/>
        <v>0</v>
      </c>
      <c r="R15" s="10">
        <f t="shared" si="2"/>
        <v>3.75</v>
      </c>
      <c r="S15" s="10">
        <f t="shared" si="2"/>
        <v>3</v>
      </c>
      <c r="T15" s="11">
        <f t="shared" si="2"/>
        <v>25</v>
      </c>
    </row>
    <row r="17" spans="9:20" x14ac:dyDescent="0.3">
      <c r="I17">
        <v>10</v>
      </c>
      <c r="J17">
        <v>5</v>
      </c>
      <c r="K17">
        <v>10</v>
      </c>
      <c r="L17">
        <v>5</v>
      </c>
      <c r="M17">
        <v>10</v>
      </c>
      <c r="N17">
        <v>40</v>
      </c>
      <c r="O17">
        <v>60</v>
      </c>
      <c r="P17">
        <v>20</v>
      </c>
      <c r="Q17">
        <v>50</v>
      </c>
      <c r="R17">
        <v>5</v>
      </c>
      <c r="S17">
        <v>10</v>
      </c>
      <c r="T17">
        <v>20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B989-A96B-4A70-80DF-3ACB9B9BB476}">
  <dimension ref="A1:T13"/>
  <sheetViews>
    <sheetView zoomScale="70" zoomScaleNormal="70" workbookViewId="0">
      <selection activeCell="A8" sqref="A7:XFD8"/>
    </sheetView>
  </sheetViews>
  <sheetFormatPr defaultRowHeight="14.4" x14ac:dyDescent="0.3"/>
  <cols>
    <col min="9" max="19" width="13.33203125" customWidth="1"/>
    <col min="20" max="20" width="14.88671875" customWidth="1"/>
    <col min="21" max="21" width="13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8</v>
      </c>
      <c r="C2">
        <v>200</v>
      </c>
      <c r="D2">
        <v>382.5</v>
      </c>
      <c r="E2">
        <v>26</v>
      </c>
      <c r="F2">
        <v>660</v>
      </c>
      <c r="G2">
        <v>87.2</v>
      </c>
      <c r="H2">
        <v>3285.015715</v>
      </c>
      <c r="I2">
        <v>0</v>
      </c>
      <c r="J2">
        <v>7</v>
      </c>
      <c r="K2">
        <v>4.5</v>
      </c>
      <c r="L2">
        <v>2.5</v>
      </c>
      <c r="M2">
        <v>0</v>
      </c>
      <c r="N2">
        <v>0</v>
      </c>
      <c r="O2">
        <v>1.5</v>
      </c>
      <c r="P2">
        <v>0</v>
      </c>
      <c r="Q2">
        <v>0</v>
      </c>
      <c r="R2">
        <v>0</v>
      </c>
      <c r="S2">
        <v>4</v>
      </c>
      <c r="T2">
        <v>8</v>
      </c>
    </row>
    <row r="3" spans="1:20" x14ac:dyDescent="0.3">
      <c r="A3">
        <v>2</v>
      </c>
      <c r="B3">
        <v>14</v>
      </c>
      <c r="C3">
        <v>200</v>
      </c>
      <c r="D3">
        <v>550</v>
      </c>
      <c r="E3">
        <v>18</v>
      </c>
      <c r="F3">
        <v>784</v>
      </c>
      <c r="G3">
        <v>77.279999999999987</v>
      </c>
      <c r="H3">
        <v>1327.016529</v>
      </c>
      <c r="I3">
        <v>0</v>
      </c>
      <c r="J3">
        <v>6</v>
      </c>
      <c r="K3">
        <v>6</v>
      </c>
      <c r="L3">
        <v>4</v>
      </c>
      <c r="M3">
        <v>0</v>
      </c>
      <c r="N3">
        <v>3</v>
      </c>
      <c r="O3">
        <v>0</v>
      </c>
      <c r="P3">
        <v>0</v>
      </c>
      <c r="Q3">
        <v>0</v>
      </c>
      <c r="R3">
        <v>0</v>
      </c>
      <c r="S3">
        <v>4</v>
      </c>
      <c r="T3">
        <v>14</v>
      </c>
    </row>
    <row r="4" spans="1:20" x14ac:dyDescent="0.3">
      <c r="A4">
        <v>3</v>
      </c>
      <c r="B4">
        <v>8</v>
      </c>
      <c r="C4">
        <v>250</v>
      </c>
      <c r="D4">
        <v>425</v>
      </c>
      <c r="E4">
        <v>23</v>
      </c>
      <c r="F4">
        <v>558</v>
      </c>
      <c r="G4">
        <v>95.36</v>
      </c>
      <c r="H4">
        <v>2169.5000089999999</v>
      </c>
      <c r="I4">
        <v>0</v>
      </c>
      <c r="J4">
        <v>15</v>
      </c>
      <c r="K4">
        <v>5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9</v>
      </c>
      <c r="S4">
        <v>4</v>
      </c>
      <c r="T4">
        <v>10</v>
      </c>
    </row>
    <row r="5" spans="1:20" x14ac:dyDescent="0.3">
      <c r="A5">
        <v>4</v>
      </c>
      <c r="B5">
        <v>9</v>
      </c>
      <c r="C5">
        <v>280</v>
      </c>
      <c r="D5">
        <v>506.25</v>
      </c>
      <c r="E5">
        <v>19</v>
      </c>
      <c r="F5">
        <v>597</v>
      </c>
      <c r="G5">
        <v>92.24</v>
      </c>
      <c r="H5">
        <v>2353.319078</v>
      </c>
      <c r="I5">
        <v>0</v>
      </c>
      <c r="J5">
        <v>15</v>
      </c>
      <c r="K5">
        <v>5</v>
      </c>
      <c r="L5">
        <v>4</v>
      </c>
      <c r="M5">
        <v>0</v>
      </c>
      <c r="N5">
        <v>0</v>
      </c>
      <c r="O5">
        <v>0</v>
      </c>
      <c r="P5">
        <v>0</v>
      </c>
      <c r="Q5">
        <v>0</v>
      </c>
      <c r="R5">
        <v>12.25</v>
      </c>
      <c r="S5">
        <v>4</v>
      </c>
      <c r="T5">
        <v>13</v>
      </c>
    </row>
    <row r="6" spans="1:20" ht="15" thickBot="1" x14ac:dyDescent="0.35"/>
    <row r="7" spans="1:20" ht="15" thickBot="1" x14ac:dyDescent="0.35">
      <c r="A7" t="s">
        <v>0</v>
      </c>
      <c r="B7" s="1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s="4" t="s">
        <v>8</v>
      </c>
      <c r="J7" s="5" t="s">
        <v>9</v>
      </c>
      <c r="K7" s="5" t="s">
        <v>10</v>
      </c>
      <c r="L7" s="5" t="s">
        <v>11</v>
      </c>
      <c r="M7" s="5" t="s">
        <v>12</v>
      </c>
      <c r="N7" s="5" t="s">
        <v>13</v>
      </c>
      <c r="O7" s="5" t="s">
        <v>14</v>
      </c>
      <c r="P7" s="5" t="s">
        <v>15</v>
      </c>
      <c r="Q7" s="5" t="s">
        <v>16</v>
      </c>
      <c r="R7" s="5" t="s">
        <v>17</v>
      </c>
      <c r="S7" s="5" t="s">
        <v>18</v>
      </c>
      <c r="T7" s="6" t="s">
        <v>19</v>
      </c>
    </row>
    <row r="8" spans="1:20" x14ac:dyDescent="0.3">
      <c r="A8">
        <v>1</v>
      </c>
      <c r="B8" s="16">
        <v>15</v>
      </c>
      <c r="D8" s="14" cm="1">
        <f t="array" ref="D8">SUM(I8:T8*I$13:T$13)</f>
        <v>382.5</v>
      </c>
      <c r="E8" s="14">
        <f>FLOOR(10000/D8,1)</f>
        <v>26</v>
      </c>
      <c r="I8" s="4">
        <f t="shared" ref="I8:T8" si="0">I2</f>
        <v>0</v>
      </c>
      <c r="J8" s="5">
        <f t="shared" si="0"/>
        <v>7</v>
      </c>
      <c r="K8" s="5">
        <f t="shared" si="0"/>
        <v>4.5</v>
      </c>
      <c r="L8" s="5">
        <f t="shared" si="0"/>
        <v>2.5</v>
      </c>
      <c r="M8" s="5">
        <f t="shared" si="0"/>
        <v>0</v>
      </c>
      <c r="N8" s="5">
        <f t="shared" si="0"/>
        <v>0</v>
      </c>
      <c r="O8" s="5">
        <f t="shared" si="0"/>
        <v>1.5</v>
      </c>
      <c r="P8" s="5">
        <f t="shared" si="0"/>
        <v>0</v>
      </c>
      <c r="Q8" s="5">
        <f t="shared" si="0"/>
        <v>0</v>
      </c>
      <c r="R8" s="5">
        <f t="shared" si="0"/>
        <v>0</v>
      </c>
      <c r="S8" s="5">
        <f t="shared" si="0"/>
        <v>4</v>
      </c>
      <c r="T8" s="6">
        <f t="shared" si="0"/>
        <v>8</v>
      </c>
    </row>
    <row r="9" spans="1:20" x14ac:dyDescent="0.3">
      <c r="A9">
        <v>2</v>
      </c>
      <c r="B9" s="16">
        <v>19</v>
      </c>
      <c r="D9" s="14" cm="1">
        <f t="array" ref="D9">SUM(I9:T9*I$13:T$13)</f>
        <v>550</v>
      </c>
      <c r="E9" s="14">
        <f t="shared" ref="E9:E11" si="1">FLOOR(10000/D9,1)</f>
        <v>18</v>
      </c>
      <c r="I9" s="7">
        <f t="shared" ref="I9:T9" si="2">I3</f>
        <v>0</v>
      </c>
      <c r="J9">
        <f t="shared" si="2"/>
        <v>6</v>
      </c>
      <c r="K9">
        <f t="shared" si="2"/>
        <v>6</v>
      </c>
      <c r="L9">
        <f t="shared" si="2"/>
        <v>4</v>
      </c>
      <c r="M9">
        <f t="shared" si="2"/>
        <v>0</v>
      </c>
      <c r="N9">
        <f t="shared" si="2"/>
        <v>3</v>
      </c>
      <c r="O9">
        <f t="shared" si="2"/>
        <v>0</v>
      </c>
      <c r="P9">
        <f t="shared" si="2"/>
        <v>0</v>
      </c>
      <c r="Q9">
        <f t="shared" si="2"/>
        <v>0</v>
      </c>
      <c r="R9">
        <f t="shared" si="2"/>
        <v>0</v>
      </c>
      <c r="S9">
        <f t="shared" si="2"/>
        <v>4</v>
      </c>
      <c r="T9" s="8">
        <f t="shared" si="2"/>
        <v>14</v>
      </c>
    </row>
    <row r="10" spans="1:20" x14ac:dyDescent="0.3">
      <c r="A10">
        <v>3</v>
      </c>
      <c r="B10" s="16">
        <v>14</v>
      </c>
      <c r="D10" s="14" cm="1">
        <f t="array" ref="D10">SUM(I10:T10*I$13:T$13)</f>
        <v>425</v>
      </c>
      <c r="E10" s="14">
        <f t="shared" si="1"/>
        <v>23</v>
      </c>
      <c r="I10" s="7">
        <f t="shared" ref="I10:T10" si="3">I4</f>
        <v>0</v>
      </c>
      <c r="J10">
        <f t="shared" si="3"/>
        <v>15</v>
      </c>
      <c r="K10">
        <f t="shared" si="3"/>
        <v>5</v>
      </c>
      <c r="L10">
        <f t="shared" si="3"/>
        <v>3</v>
      </c>
      <c r="M10">
        <f t="shared" si="3"/>
        <v>0</v>
      </c>
      <c r="N10">
        <f t="shared" si="3"/>
        <v>0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9</v>
      </c>
      <c r="S10">
        <f t="shared" si="3"/>
        <v>4</v>
      </c>
      <c r="T10" s="8">
        <f t="shared" si="3"/>
        <v>10</v>
      </c>
    </row>
    <row r="11" spans="1:20" ht="15" thickBot="1" x14ac:dyDescent="0.35">
      <c r="A11">
        <v>4</v>
      </c>
      <c r="B11" s="17">
        <v>16</v>
      </c>
      <c r="D11" s="12" cm="1">
        <f t="array" ref="D11">SUM(I11:T11*I$13:T$13)</f>
        <v>517.5</v>
      </c>
      <c r="E11" s="14">
        <f t="shared" si="1"/>
        <v>19</v>
      </c>
      <c r="I11" s="9">
        <f t="shared" ref="I11:T11" si="4">I5</f>
        <v>0</v>
      </c>
      <c r="J11" s="13">
        <v>15.5</v>
      </c>
      <c r="K11" s="10">
        <f t="shared" si="4"/>
        <v>5</v>
      </c>
      <c r="L11" s="10">
        <f t="shared" si="4"/>
        <v>4</v>
      </c>
      <c r="M11" s="10">
        <f t="shared" si="4"/>
        <v>0</v>
      </c>
      <c r="N11" s="10">
        <f t="shared" si="4"/>
        <v>0</v>
      </c>
      <c r="O11" s="10">
        <f t="shared" si="4"/>
        <v>0</v>
      </c>
      <c r="P11" s="10">
        <f t="shared" si="4"/>
        <v>0</v>
      </c>
      <c r="Q11" s="10">
        <f t="shared" si="4"/>
        <v>0</v>
      </c>
      <c r="R11" s="13">
        <f>3.5*4</f>
        <v>14</v>
      </c>
      <c r="S11" s="10">
        <f t="shared" si="4"/>
        <v>4</v>
      </c>
      <c r="T11" s="11">
        <f t="shared" si="4"/>
        <v>13</v>
      </c>
    </row>
    <row r="13" spans="1:20" x14ac:dyDescent="0.3">
      <c r="I13">
        <v>10</v>
      </c>
      <c r="J13">
        <v>5</v>
      </c>
      <c r="K13">
        <v>10</v>
      </c>
      <c r="L13">
        <v>5</v>
      </c>
      <c r="M13">
        <v>10</v>
      </c>
      <c r="N13">
        <v>40</v>
      </c>
      <c r="O13">
        <v>60</v>
      </c>
      <c r="P13">
        <v>20</v>
      </c>
      <c r="Q13">
        <v>50</v>
      </c>
      <c r="R13">
        <v>5</v>
      </c>
      <c r="S13">
        <v>10</v>
      </c>
      <c r="T13">
        <v>20</v>
      </c>
    </row>
  </sheetData>
  <conditionalFormatting sqref="G2:G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ellIs" dxfId="0" priority="1" operator="greaterThan">
      <formula>$J$3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UA</vt:lpstr>
      <vt:lpstr>UB</vt:lpstr>
      <vt:lpstr>UC</vt:lpstr>
      <vt:lpstr>UD</vt:lpstr>
      <vt:lpstr>UE</vt:lpstr>
      <vt:lpstr>UF</vt:lpstr>
      <vt:lpstr>UG</vt:lpstr>
      <vt:lpstr>UH</vt:lpstr>
      <vt:lpstr>UI</vt:lpstr>
      <vt:lpstr>UJ</vt:lpstr>
      <vt:lpstr>UK</vt:lpstr>
      <vt:lpstr>UL</vt:lpstr>
      <vt:lpstr>UM</vt:lpstr>
      <vt:lpstr>UN</vt:lpstr>
      <vt:lpstr>UO</vt:lpstr>
      <vt:lpstr>UP</vt:lpstr>
      <vt:lpstr>UQ</vt:lpstr>
      <vt:lpstr>UR</vt:lpstr>
      <vt:lpstr>US</vt:lpstr>
      <vt:lpstr>UT</vt:lpstr>
      <vt:lpstr>UU</vt:lpstr>
      <vt:lpstr>UV</vt:lpstr>
      <vt:lpstr>UW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Jetton, Cole Martin</dc:creator>
  <cp:lastModifiedBy>Jetton, Cole Martin</cp:lastModifiedBy>
  <dcterms:created xsi:type="dcterms:W3CDTF">2025-03-04T19:46:41Z</dcterms:created>
  <dcterms:modified xsi:type="dcterms:W3CDTF">2025-04-14T18:02:32Z</dcterms:modified>
</cp:coreProperties>
</file>