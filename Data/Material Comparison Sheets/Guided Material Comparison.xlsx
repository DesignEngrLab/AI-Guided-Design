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j\MATLAB Drive\Second Experiment\Data\Material Comparison Sheets\"/>
    </mc:Choice>
  </mc:AlternateContent>
  <xr:revisionPtr revIDLastSave="0" documentId="13_ncr:1_{B9F989AA-0938-4C10-AB4C-D765944C6FE4}" xr6:coauthVersionLast="47" xr6:coauthVersionMax="47" xr10:uidLastSave="{00000000-0000-0000-0000-000000000000}"/>
  <bookViews>
    <workbookView xWindow="-108" yWindow="-108" windowWidth="23256" windowHeight="14016" firstSheet="7" activeTab="17" xr2:uid="{FDD34BA6-9605-4935-B578-1B3CBF15B48F}"/>
  </bookViews>
  <sheets>
    <sheet name="GA" sheetId="1" r:id="rId1"/>
    <sheet name="GB" sheetId="17" r:id="rId2"/>
    <sheet name="GC" sheetId="18" r:id="rId3"/>
    <sheet name="GD" sheetId="19" r:id="rId4"/>
    <sheet name="GE" sheetId="20" r:id="rId5"/>
    <sheet name="GF" sheetId="21" r:id="rId6"/>
    <sheet name="GG" sheetId="22" r:id="rId7"/>
    <sheet name="GH" sheetId="23" r:id="rId8"/>
    <sheet name="GI" sheetId="24" r:id="rId9"/>
    <sheet name="GJ" sheetId="25" r:id="rId10"/>
    <sheet name="GK" sheetId="26" r:id="rId11"/>
    <sheet name="GL" sheetId="27" r:id="rId12"/>
    <sheet name="GM" sheetId="2" r:id="rId13"/>
    <sheet name="GN" sheetId="3" r:id="rId14"/>
    <sheet name="GO" sheetId="4" r:id="rId15"/>
    <sheet name="GP" sheetId="5" r:id="rId16"/>
    <sheet name="GQ" sheetId="6" r:id="rId17"/>
    <sheet name="GR" sheetId="7" r:id="rId18"/>
    <sheet name="GS" sheetId="8" r:id="rId19"/>
    <sheet name="GT" sheetId="9" r:id="rId20"/>
    <sheet name="GU" sheetId="10" r:id="rId21"/>
    <sheet name="GV" sheetId="11" r:id="rId22"/>
    <sheet name="GW" sheetId="12" r:id="rId23"/>
    <sheet name="GX" sheetId="28" r:id="rId24"/>
    <sheet name="GY" sheetId="13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8" l="1"/>
  <c r="P10" i="28"/>
  <c r="E10" i="13" a="1"/>
  <c r="E10" i="13" s="1"/>
  <c r="E11" i="13" a="1"/>
  <c r="E11" i="13" s="1"/>
  <c r="E12" i="13" a="1"/>
  <c r="E12" i="13" s="1"/>
  <c r="E13" i="13" a="1"/>
  <c r="E13" i="13" s="1"/>
  <c r="E9" i="13" a="1"/>
  <c r="E9" i="13" s="1"/>
  <c r="E8" i="12" a="1"/>
  <c r="E8" i="12" s="1"/>
  <c r="E9" i="12" a="1"/>
  <c r="E9" i="12" s="1"/>
  <c r="E7" i="12" a="1"/>
  <c r="E7" i="12" s="1"/>
  <c r="S15" i="8"/>
  <c r="S10" i="5"/>
  <c r="S14" i="27" l="1"/>
  <c r="S13" i="25"/>
  <c r="E8" i="24" a="1"/>
  <c r="E8" i="24" s="1"/>
  <c r="F8" i="24" s="1"/>
  <c r="E9" i="24" a="1"/>
  <c r="E9" i="24" s="1"/>
  <c r="F9" i="24" s="1"/>
  <c r="E7" i="24" a="1"/>
  <c r="E7" i="24" s="1"/>
  <c r="F7" i="24" s="1"/>
  <c r="J7" i="24"/>
  <c r="E10" i="23" a="1"/>
  <c r="E10" i="23" s="1"/>
  <c r="E11" i="23" a="1"/>
  <c r="E11" i="23" s="1"/>
  <c r="E12" i="23" a="1"/>
  <c r="E12" i="23" s="1"/>
  <c r="E13" i="23" a="1"/>
  <c r="E13" i="23" s="1"/>
  <c r="E9" i="23" a="1"/>
  <c r="E9" i="23" s="1"/>
  <c r="C11" i="23"/>
  <c r="E10" i="22" a="1"/>
  <c r="E10" i="22"/>
  <c r="E11" i="22" a="1"/>
  <c r="E11" i="22" s="1"/>
  <c r="E12" i="22" a="1"/>
  <c r="E12" i="22" s="1"/>
  <c r="E13" i="22" a="1"/>
  <c r="E13" i="22" s="1"/>
  <c r="E9" i="22" a="1"/>
  <c r="E9" i="22" s="1"/>
  <c r="E11" i="21" a="1"/>
  <c r="E11" i="21"/>
  <c r="E12" i="21" a="1"/>
  <c r="E12" i="21" s="1"/>
  <c r="E13" i="21" a="1"/>
  <c r="E13" i="21" s="1"/>
  <c r="E14" i="21" a="1"/>
  <c r="E14" i="21" s="1"/>
  <c r="E15" i="21" a="1"/>
  <c r="E15" i="21" s="1"/>
  <c r="F15" i="21" s="1"/>
  <c r="E10" i="21" a="1"/>
  <c r="E10" i="21"/>
  <c r="K15" i="21"/>
  <c r="L15" i="21"/>
  <c r="M15" i="21"/>
  <c r="N15" i="21"/>
  <c r="O15" i="21"/>
  <c r="P15" i="21"/>
  <c r="Q15" i="21"/>
  <c r="R15" i="21"/>
  <c r="S15" i="21"/>
  <c r="T15" i="21"/>
  <c r="U15" i="21"/>
  <c r="K10" i="21"/>
  <c r="L10" i="21"/>
  <c r="M10" i="21"/>
  <c r="N10" i="21"/>
  <c r="O10" i="21"/>
  <c r="P10" i="21"/>
  <c r="Q10" i="21"/>
  <c r="R10" i="21"/>
  <c r="S10" i="21"/>
  <c r="T10" i="21"/>
  <c r="U10" i="21"/>
  <c r="K11" i="21"/>
  <c r="L11" i="21"/>
  <c r="M11" i="21"/>
  <c r="N11" i="21"/>
  <c r="P11" i="21"/>
  <c r="Q11" i="21"/>
  <c r="R11" i="21"/>
  <c r="S11" i="21"/>
  <c r="T11" i="21"/>
  <c r="U11" i="21"/>
  <c r="K12" i="21"/>
  <c r="L12" i="21"/>
  <c r="M12" i="21"/>
  <c r="N12" i="21"/>
  <c r="O12" i="21"/>
  <c r="Q12" i="21"/>
  <c r="R12" i="21"/>
  <c r="T12" i="21"/>
  <c r="U12" i="21"/>
  <c r="K13" i="21"/>
  <c r="L13" i="21"/>
  <c r="M13" i="21"/>
  <c r="N13" i="21"/>
  <c r="O13" i="21"/>
  <c r="Q13" i="21"/>
  <c r="R13" i="21"/>
  <c r="T13" i="21"/>
  <c r="U13" i="21"/>
  <c r="K14" i="21"/>
  <c r="M14" i="21"/>
  <c r="N14" i="21"/>
  <c r="O14" i="21"/>
  <c r="P14" i="21"/>
  <c r="Q14" i="21"/>
  <c r="R14" i="21"/>
  <c r="S14" i="21"/>
  <c r="T14" i="21"/>
  <c r="U14" i="21"/>
  <c r="J11" i="21"/>
  <c r="J12" i="21"/>
  <c r="J13" i="21"/>
  <c r="J10" i="21"/>
  <c r="E12" i="19" a="1"/>
  <c r="E12" i="19" s="1"/>
  <c r="F12" i="19" s="1"/>
  <c r="K11" i="18"/>
  <c r="E11" i="18" s="1" a="1"/>
  <c r="E11" i="18" s="1"/>
  <c r="F11" i="18" s="1"/>
  <c r="E10" i="18" a="1"/>
  <c r="E10" i="18" s="1"/>
  <c r="F10" i="18" s="1"/>
  <c r="L11" i="18"/>
  <c r="M11" i="18"/>
  <c r="N11" i="18"/>
  <c r="O11" i="18"/>
  <c r="P11" i="18"/>
  <c r="Q11" i="18"/>
  <c r="R11" i="18"/>
  <c r="S11" i="18"/>
  <c r="T11" i="18"/>
  <c r="K12" i="18"/>
  <c r="M12" i="18"/>
  <c r="N12" i="18"/>
  <c r="O12" i="18"/>
  <c r="E12" i="18" s="1" a="1"/>
  <c r="E12" i="18" s="1"/>
  <c r="F12" i="18" s="1"/>
  <c r="Q12" i="18"/>
  <c r="R12" i="18"/>
  <c r="S12" i="18"/>
  <c r="T12" i="18"/>
  <c r="M13" i="18"/>
  <c r="N13" i="18"/>
  <c r="O13" i="18"/>
  <c r="P13" i="18"/>
  <c r="Q13" i="18"/>
  <c r="R13" i="18"/>
  <c r="S13" i="18"/>
  <c r="T13" i="18"/>
  <c r="J12" i="18"/>
  <c r="J13" i="18"/>
  <c r="J9" i="18"/>
  <c r="K9" i="18"/>
  <c r="L9" i="18"/>
  <c r="M9" i="18"/>
  <c r="N9" i="18"/>
  <c r="O9" i="18"/>
  <c r="P9" i="18"/>
  <c r="Q9" i="18"/>
  <c r="R9" i="18"/>
  <c r="S9" i="18"/>
  <c r="T9" i="18"/>
  <c r="U9" i="18"/>
  <c r="L10" i="18"/>
  <c r="M10" i="18"/>
  <c r="N10" i="18"/>
  <c r="O10" i="18"/>
  <c r="P10" i="18"/>
  <c r="Q10" i="18"/>
  <c r="S10" i="18"/>
  <c r="T10" i="18"/>
  <c r="U10" i="18"/>
  <c r="J10" i="18"/>
  <c r="N10" i="17"/>
  <c r="K12" i="1"/>
  <c r="E12" i="1" a="1"/>
  <c r="E12" i="1" s="1"/>
  <c r="F12" i="1" s="1"/>
  <c r="F13" i="13"/>
  <c r="F12" i="13"/>
  <c r="F11" i="13"/>
  <c r="F10" i="13"/>
  <c r="F9" i="13"/>
  <c r="F9" i="12"/>
  <c r="F8" i="12"/>
  <c r="F7" i="12"/>
  <c r="E15" i="11" a="1"/>
  <c r="E15" i="11" s="1"/>
  <c r="F15" i="11" s="1"/>
  <c r="E14" i="11" a="1"/>
  <c r="E14" i="11" s="1"/>
  <c r="F14" i="11" s="1"/>
  <c r="E13" i="11" a="1"/>
  <c r="E13" i="11" s="1"/>
  <c r="F13" i="11" s="1"/>
  <c r="E12" i="11" a="1"/>
  <c r="E12" i="11" s="1"/>
  <c r="F12" i="11" s="1"/>
  <c r="E11" i="11" a="1"/>
  <c r="E11" i="11" s="1"/>
  <c r="F11" i="11" s="1"/>
  <c r="E10" i="11" a="1"/>
  <c r="E10" i="11" s="1"/>
  <c r="F10" i="11" s="1"/>
  <c r="E15" i="10" a="1"/>
  <c r="E15" i="10" s="1"/>
  <c r="F15" i="10" s="1"/>
  <c r="E14" i="10" a="1"/>
  <c r="E14" i="10" s="1"/>
  <c r="F14" i="10" s="1"/>
  <c r="E13" i="10" a="1"/>
  <c r="E13" i="10" s="1"/>
  <c r="F13" i="10" s="1"/>
  <c r="E12" i="10" a="1"/>
  <c r="E12" i="10" s="1"/>
  <c r="F12" i="10" s="1"/>
  <c r="E11" i="10" a="1"/>
  <c r="E11" i="10" s="1"/>
  <c r="F11" i="10" s="1"/>
  <c r="E10" i="10" a="1"/>
  <c r="E10" i="10" s="1"/>
  <c r="F10" i="10" s="1"/>
  <c r="E15" i="9" a="1"/>
  <c r="E15" i="9" s="1"/>
  <c r="F15" i="9" s="1"/>
  <c r="E14" i="9"/>
  <c r="F14" i="9" s="1"/>
  <c r="E14" i="9" a="1"/>
  <c r="E13" i="9" a="1"/>
  <c r="E13" i="9" s="1"/>
  <c r="F13" i="9" s="1"/>
  <c r="E12" i="9" a="1"/>
  <c r="E12" i="9" s="1"/>
  <c r="F12" i="9" s="1"/>
  <c r="E11" i="9" a="1"/>
  <c r="E11" i="9" s="1"/>
  <c r="F11" i="9" s="1"/>
  <c r="F10" i="9"/>
  <c r="E10" i="9"/>
  <c r="E10" i="9" a="1"/>
  <c r="E15" i="8" a="1"/>
  <c r="E15" i="8" s="1"/>
  <c r="F15" i="8" s="1"/>
  <c r="E14" i="8" a="1"/>
  <c r="E14" i="8" s="1"/>
  <c r="F14" i="8" s="1"/>
  <c r="E13" i="8" a="1"/>
  <c r="E13" i="8" s="1"/>
  <c r="F13" i="8" s="1"/>
  <c r="E12" i="8" a="1"/>
  <c r="E12" i="8" s="1"/>
  <c r="F12" i="8" s="1"/>
  <c r="E11" i="8" a="1"/>
  <c r="E11" i="8" s="1"/>
  <c r="F11" i="8" s="1"/>
  <c r="E10" i="8" a="1"/>
  <c r="E10" i="8" s="1"/>
  <c r="F10" i="8" s="1"/>
  <c r="E15" i="6" a="1"/>
  <c r="E15" i="6" s="1"/>
  <c r="F15" i="6" s="1"/>
  <c r="E14" i="6" a="1"/>
  <c r="E14" i="6" s="1"/>
  <c r="F14" i="6" s="1"/>
  <c r="E13" i="6" a="1"/>
  <c r="E13" i="6" s="1"/>
  <c r="F13" i="6" s="1"/>
  <c r="E12" i="6" a="1"/>
  <c r="E12" i="6" s="1"/>
  <c r="F12" i="6" s="1"/>
  <c r="E11" i="6" a="1"/>
  <c r="E11" i="6" s="1"/>
  <c r="F11" i="6" s="1"/>
  <c r="E10" i="6" a="1"/>
  <c r="E10" i="6" s="1"/>
  <c r="F10" i="6" s="1"/>
  <c r="E15" i="5" a="1"/>
  <c r="E15" i="5" s="1"/>
  <c r="F15" i="5" s="1"/>
  <c r="E14" i="5" a="1"/>
  <c r="E14" i="5" s="1"/>
  <c r="F14" i="5" s="1"/>
  <c r="E13" i="5" a="1"/>
  <c r="E13" i="5" s="1"/>
  <c r="F13" i="5" s="1"/>
  <c r="E12" i="5"/>
  <c r="F12" i="5" s="1"/>
  <c r="E12" i="5" a="1"/>
  <c r="E11" i="5" a="1"/>
  <c r="E11" i="5" s="1"/>
  <c r="F11" i="5" s="1"/>
  <c r="E10" i="5" a="1"/>
  <c r="E10" i="5" s="1"/>
  <c r="F10" i="5" s="1"/>
  <c r="E15" i="4" a="1"/>
  <c r="E15" i="4" s="1"/>
  <c r="F15" i="4" s="1"/>
  <c r="E14" i="4" a="1"/>
  <c r="E14" i="4" s="1"/>
  <c r="F14" i="4" s="1"/>
  <c r="E13" i="4" a="1"/>
  <c r="E13" i="4" s="1"/>
  <c r="F13" i="4" s="1"/>
  <c r="E12" i="4" a="1"/>
  <c r="E12" i="4" s="1"/>
  <c r="F12" i="4" s="1"/>
  <c r="E11" i="4" a="1"/>
  <c r="E11" i="4" s="1"/>
  <c r="F11" i="4" s="1"/>
  <c r="E10" i="4" a="1"/>
  <c r="E10" i="4" s="1"/>
  <c r="F10" i="4" s="1"/>
  <c r="E15" i="3" a="1"/>
  <c r="E15" i="3" s="1"/>
  <c r="F15" i="3" s="1"/>
  <c r="E14" i="3" a="1"/>
  <c r="E14" i="3" s="1"/>
  <c r="F14" i="3" s="1"/>
  <c r="E13" i="3" a="1"/>
  <c r="E13" i="3" s="1"/>
  <c r="F13" i="3" s="1"/>
  <c r="E12" i="3" a="1"/>
  <c r="E12" i="3" s="1"/>
  <c r="F12" i="3" s="1"/>
  <c r="E11" i="3" a="1"/>
  <c r="E11" i="3" s="1"/>
  <c r="F11" i="3" s="1"/>
  <c r="E10" i="3" a="1"/>
  <c r="E10" i="3" s="1"/>
  <c r="F10" i="3" s="1"/>
  <c r="E15" i="2" a="1"/>
  <c r="E15" i="2" s="1"/>
  <c r="F15" i="2" s="1"/>
  <c r="E14" i="2" a="1"/>
  <c r="E14" i="2" s="1"/>
  <c r="F14" i="2" s="1"/>
  <c r="E13" i="2" a="1"/>
  <c r="E13" i="2" s="1"/>
  <c r="F13" i="2" s="1"/>
  <c r="E12" i="2" a="1"/>
  <c r="E12" i="2" s="1"/>
  <c r="F12" i="2" s="1"/>
  <c r="E11" i="2" a="1"/>
  <c r="E11" i="2" s="1"/>
  <c r="F11" i="2" s="1"/>
  <c r="E10" i="2" a="1"/>
  <c r="E10" i="2" s="1"/>
  <c r="F10" i="2" s="1"/>
  <c r="E15" i="27" a="1"/>
  <c r="E15" i="27" s="1"/>
  <c r="F15" i="27" s="1"/>
  <c r="E14" i="27" a="1"/>
  <c r="E14" i="27" s="1"/>
  <c r="F14" i="27" s="1"/>
  <c r="E13" i="27" a="1"/>
  <c r="E13" i="27" s="1"/>
  <c r="F13" i="27" s="1"/>
  <c r="E12" i="27" a="1"/>
  <c r="E12" i="27" s="1"/>
  <c r="F12" i="27" s="1"/>
  <c r="E11" i="27" a="1"/>
  <c r="E11" i="27" s="1"/>
  <c r="F11" i="27" s="1"/>
  <c r="E10" i="27" a="1"/>
  <c r="E10" i="27" s="1"/>
  <c r="F10" i="27" s="1"/>
  <c r="E15" i="26" a="1"/>
  <c r="E15" i="26" s="1"/>
  <c r="F15" i="26" s="1"/>
  <c r="E14" i="26" a="1"/>
  <c r="E14" i="26" s="1"/>
  <c r="F14" i="26" s="1"/>
  <c r="E13" i="26" a="1"/>
  <c r="E13" i="26" s="1"/>
  <c r="F13" i="26" s="1"/>
  <c r="E12" i="26" a="1"/>
  <c r="E12" i="26" s="1"/>
  <c r="F12" i="26" s="1"/>
  <c r="E11" i="26" a="1"/>
  <c r="E11" i="26" s="1"/>
  <c r="F11" i="26" s="1"/>
  <c r="E10" i="26" a="1"/>
  <c r="E10" i="26" s="1"/>
  <c r="F10" i="26" s="1"/>
  <c r="E15" i="25" a="1"/>
  <c r="E15" i="25" s="1"/>
  <c r="F15" i="25" s="1"/>
  <c r="E14" i="25" a="1"/>
  <c r="E14" i="25" s="1"/>
  <c r="F14" i="25" s="1"/>
  <c r="E13" i="25" a="1"/>
  <c r="E13" i="25" s="1"/>
  <c r="F13" i="25" s="1"/>
  <c r="E12" i="25" a="1"/>
  <c r="E12" i="25" s="1"/>
  <c r="F12" i="25" s="1"/>
  <c r="E11" i="25" a="1"/>
  <c r="E11" i="25" s="1"/>
  <c r="F11" i="25" s="1"/>
  <c r="E10" i="25" a="1"/>
  <c r="E10" i="25" s="1"/>
  <c r="F10" i="25" s="1"/>
  <c r="E15" i="19" a="1"/>
  <c r="E15" i="19" s="1"/>
  <c r="F15" i="19" s="1"/>
  <c r="E14" i="19" a="1"/>
  <c r="E14" i="19" s="1"/>
  <c r="F14" i="19" s="1"/>
  <c r="E13" i="19" a="1"/>
  <c r="E13" i="19" s="1"/>
  <c r="F13" i="19" s="1"/>
  <c r="E11" i="19" a="1"/>
  <c r="E11" i="19" s="1"/>
  <c r="F11" i="19" s="1"/>
  <c r="E10" i="19" a="1"/>
  <c r="E10" i="19" s="1"/>
  <c r="F10" i="19" s="1"/>
  <c r="E15" i="17" a="1"/>
  <c r="E15" i="17" s="1"/>
  <c r="F15" i="17" s="1"/>
  <c r="E14" i="17" a="1"/>
  <c r="E14" i="17" s="1"/>
  <c r="F14" i="17" s="1"/>
  <c r="E13" i="17" a="1"/>
  <c r="E13" i="17" s="1"/>
  <c r="F13" i="17" s="1"/>
  <c r="E12" i="17" a="1"/>
  <c r="E12" i="17" s="1"/>
  <c r="F12" i="17" s="1"/>
  <c r="E11" i="17" a="1"/>
  <c r="E11" i="17" s="1"/>
  <c r="F11" i="17" s="1"/>
  <c r="E10" i="17" a="1"/>
  <c r="E10" i="17" s="1"/>
  <c r="F10" i="17" s="1"/>
  <c r="E11" i="1" a="1"/>
  <c r="E11" i="1" s="1"/>
  <c r="F11" i="1" s="1"/>
  <c r="E13" i="1" a="1"/>
  <c r="E13" i="1" s="1"/>
  <c r="F13" i="1" s="1"/>
  <c r="E14" i="1" a="1"/>
  <c r="E14" i="1" s="1"/>
  <c r="F14" i="1" s="1"/>
  <c r="E15" i="1" a="1"/>
  <c r="E15" i="1" s="1"/>
  <c r="F15" i="1" s="1"/>
  <c r="K10" i="1"/>
  <c r="L10" i="1"/>
  <c r="M10" i="1"/>
  <c r="N10" i="1"/>
  <c r="O10" i="1"/>
  <c r="P10" i="1"/>
  <c r="Q10" i="1"/>
  <c r="R10" i="1"/>
  <c r="S10" i="1"/>
  <c r="T10" i="1"/>
  <c r="U10" i="1"/>
  <c r="K11" i="1"/>
  <c r="L11" i="1"/>
  <c r="M11" i="1"/>
  <c r="N11" i="1"/>
  <c r="O11" i="1"/>
  <c r="P11" i="1"/>
  <c r="Q11" i="1"/>
  <c r="R11" i="1"/>
  <c r="S11" i="1"/>
  <c r="T11" i="1"/>
  <c r="U11" i="1"/>
  <c r="L12" i="1"/>
  <c r="M12" i="1"/>
  <c r="N12" i="1"/>
  <c r="O12" i="1"/>
  <c r="P12" i="1"/>
  <c r="Q12" i="1"/>
  <c r="R12" i="1"/>
  <c r="S12" i="1"/>
  <c r="T12" i="1"/>
  <c r="U12" i="1"/>
  <c r="K13" i="1"/>
  <c r="L13" i="1"/>
  <c r="M13" i="1"/>
  <c r="N13" i="1"/>
  <c r="O13" i="1"/>
  <c r="P13" i="1"/>
  <c r="Q13" i="1"/>
  <c r="R13" i="1"/>
  <c r="S13" i="1"/>
  <c r="T13" i="1"/>
  <c r="U13" i="1"/>
  <c r="K14" i="1"/>
  <c r="M14" i="1"/>
  <c r="N14" i="1"/>
  <c r="O14" i="1"/>
  <c r="P14" i="1"/>
  <c r="Q14" i="1"/>
  <c r="R14" i="1"/>
  <c r="S14" i="1"/>
  <c r="T14" i="1"/>
  <c r="U14" i="1"/>
  <c r="K15" i="1"/>
  <c r="L15" i="1"/>
  <c r="M15" i="1"/>
  <c r="N15" i="1"/>
  <c r="O15" i="1"/>
  <c r="P15" i="1"/>
  <c r="Q15" i="1"/>
  <c r="R15" i="1"/>
  <c r="S15" i="1"/>
  <c r="T15" i="1"/>
  <c r="U15" i="1"/>
  <c r="J11" i="1"/>
  <c r="J12" i="1"/>
  <c r="J13" i="1"/>
  <c r="J14" i="1"/>
  <c r="J15" i="1"/>
  <c r="J10" i="1"/>
  <c r="E10" i="1" s="1" a="1"/>
  <c r="E10" i="1" s="1"/>
  <c r="F10" i="1" s="1"/>
  <c r="K10" i="17"/>
  <c r="L10" i="17"/>
  <c r="M10" i="17"/>
  <c r="O10" i="17"/>
  <c r="P10" i="17"/>
  <c r="Q10" i="17"/>
  <c r="R10" i="17"/>
  <c r="S10" i="17"/>
  <c r="T10" i="17"/>
  <c r="U10" i="17"/>
  <c r="L11" i="17"/>
  <c r="M11" i="17"/>
  <c r="N11" i="17"/>
  <c r="O11" i="17"/>
  <c r="P11" i="17"/>
  <c r="Q11" i="17"/>
  <c r="R11" i="17"/>
  <c r="S11" i="17"/>
  <c r="T11" i="17"/>
  <c r="U11" i="17"/>
  <c r="K12" i="17"/>
  <c r="L12" i="17"/>
  <c r="N12" i="17"/>
  <c r="O12" i="17"/>
  <c r="P12" i="17"/>
  <c r="Q12" i="17"/>
  <c r="R12" i="17"/>
  <c r="S12" i="17"/>
  <c r="T12" i="17"/>
  <c r="U12" i="17"/>
  <c r="L13" i="17"/>
  <c r="N13" i="17"/>
  <c r="O13" i="17"/>
  <c r="P13" i="17"/>
  <c r="Q13" i="17"/>
  <c r="R13" i="17"/>
  <c r="S13" i="17"/>
  <c r="T13" i="17"/>
  <c r="U13" i="17"/>
  <c r="L14" i="17"/>
  <c r="M14" i="17"/>
  <c r="N14" i="17"/>
  <c r="O14" i="17"/>
  <c r="P14" i="17"/>
  <c r="Q14" i="17"/>
  <c r="R14" i="17"/>
  <c r="S14" i="17"/>
  <c r="T14" i="17"/>
  <c r="U14" i="17"/>
  <c r="L15" i="17"/>
  <c r="M15" i="17"/>
  <c r="N15" i="17"/>
  <c r="O15" i="17"/>
  <c r="P15" i="17"/>
  <c r="Q15" i="17"/>
  <c r="R15" i="17"/>
  <c r="S15" i="17"/>
  <c r="T15" i="17"/>
  <c r="U15" i="17"/>
  <c r="J12" i="17"/>
  <c r="J13" i="17"/>
  <c r="J14" i="17"/>
  <c r="J15" i="17"/>
  <c r="E13" i="18" a="1"/>
  <c r="E13" i="18" s="1"/>
  <c r="F13" i="18" s="1"/>
  <c r="K10" i="19"/>
  <c r="L10" i="19"/>
  <c r="M10" i="19"/>
  <c r="N10" i="19"/>
  <c r="O10" i="19"/>
  <c r="P10" i="19"/>
  <c r="Q10" i="19"/>
  <c r="R10" i="19"/>
  <c r="S10" i="19"/>
  <c r="T10" i="19"/>
  <c r="U10" i="19"/>
  <c r="K11" i="19"/>
  <c r="L11" i="19"/>
  <c r="M11" i="19"/>
  <c r="O11" i="19"/>
  <c r="P11" i="19"/>
  <c r="Q11" i="19"/>
  <c r="R11" i="19"/>
  <c r="S11" i="19"/>
  <c r="T11" i="19"/>
  <c r="U11" i="19"/>
  <c r="K12" i="19"/>
  <c r="M12" i="19"/>
  <c r="N12" i="19"/>
  <c r="O12" i="19"/>
  <c r="P12" i="19"/>
  <c r="Q12" i="19"/>
  <c r="R12" i="19"/>
  <c r="S12" i="19"/>
  <c r="T12" i="19"/>
  <c r="U12" i="19"/>
  <c r="K13" i="19"/>
  <c r="L13" i="19"/>
  <c r="M13" i="19"/>
  <c r="N13" i="19"/>
  <c r="O13" i="19"/>
  <c r="P13" i="19"/>
  <c r="Q13" i="19"/>
  <c r="R13" i="19"/>
  <c r="T13" i="19"/>
  <c r="U13" i="19"/>
  <c r="K14" i="19"/>
  <c r="L14" i="19"/>
  <c r="M14" i="19"/>
  <c r="N14" i="19"/>
  <c r="O14" i="19"/>
  <c r="P14" i="19"/>
  <c r="Q14" i="19"/>
  <c r="R14" i="19"/>
  <c r="S14" i="19"/>
  <c r="T14" i="19"/>
  <c r="U14" i="19"/>
  <c r="L15" i="19"/>
  <c r="M15" i="19"/>
  <c r="N15" i="19"/>
  <c r="P15" i="19"/>
  <c r="Q15" i="19"/>
  <c r="R15" i="19"/>
  <c r="S15" i="19"/>
  <c r="T15" i="19"/>
  <c r="U15" i="19"/>
  <c r="J13" i="19"/>
  <c r="J14" i="19"/>
  <c r="J10" i="19"/>
  <c r="U13" i="20"/>
  <c r="T13" i="20"/>
  <c r="S13" i="20"/>
  <c r="R13" i="20"/>
  <c r="Q13" i="20"/>
  <c r="P13" i="20"/>
  <c r="O13" i="20"/>
  <c r="N13" i="20"/>
  <c r="L13" i="20"/>
  <c r="K13" i="20"/>
  <c r="J13" i="20"/>
  <c r="E13" i="20" s="1" a="1"/>
  <c r="E13" i="20" s="1"/>
  <c r="F13" i="20" s="1"/>
  <c r="U12" i="20"/>
  <c r="T12" i="20"/>
  <c r="S12" i="20"/>
  <c r="R12" i="20"/>
  <c r="Q12" i="20"/>
  <c r="N12" i="20"/>
  <c r="J12" i="20"/>
  <c r="E12" i="20" s="1" a="1"/>
  <c r="E12" i="20" s="1"/>
  <c r="F12" i="20" s="1"/>
  <c r="U11" i="20"/>
  <c r="T11" i="20"/>
  <c r="S11" i="20"/>
  <c r="R11" i="20"/>
  <c r="Q11" i="20"/>
  <c r="P11" i="20"/>
  <c r="O11" i="20"/>
  <c r="N11" i="20"/>
  <c r="L11" i="20"/>
  <c r="E11" i="20" a="1"/>
  <c r="E11" i="20" s="1"/>
  <c r="F11" i="20" s="1"/>
  <c r="J11" i="20"/>
  <c r="U10" i="20"/>
  <c r="T10" i="20"/>
  <c r="S10" i="20"/>
  <c r="R10" i="20"/>
  <c r="Q10" i="20"/>
  <c r="P10" i="20"/>
  <c r="O10" i="20"/>
  <c r="N10" i="20"/>
  <c r="M10" i="20"/>
  <c r="L10" i="20"/>
  <c r="J10" i="20"/>
  <c r="E10" i="20" s="1" a="1"/>
  <c r="E10" i="20" s="1"/>
  <c r="F10" i="20" s="1"/>
  <c r="U9" i="20"/>
  <c r="T9" i="20"/>
  <c r="S9" i="20"/>
  <c r="R9" i="20"/>
  <c r="Q9" i="20"/>
  <c r="P9" i="20"/>
  <c r="O9" i="20"/>
  <c r="M9" i="20"/>
  <c r="K9" i="20"/>
  <c r="E9" i="20" a="1"/>
  <c r="E9" i="20" s="1"/>
  <c r="F9" i="20" s="1"/>
  <c r="U13" i="22"/>
  <c r="T13" i="22"/>
  <c r="S13" i="22"/>
  <c r="R13" i="22"/>
  <c r="Q13" i="22"/>
  <c r="P13" i="22"/>
  <c r="O13" i="22"/>
  <c r="N13" i="22"/>
  <c r="M13" i="22"/>
  <c r="K13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U11" i="22"/>
  <c r="T11" i="22"/>
  <c r="S11" i="22"/>
  <c r="R11" i="22"/>
  <c r="Q11" i="22"/>
  <c r="P11" i="22"/>
  <c r="O11" i="22"/>
  <c r="N11" i="22"/>
  <c r="M11" i="22"/>
  <c r="K11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F10" i="22" s="1"/>
  <c r="U9" i="22"/>
  <c r="T9" i="22"/>
  <c r="S9" i="22"/>
  <c r="R9" i="22"/>
  <c r="Q9" i="22"/>
  <c r="P9" i="22"/>
  <c r="O9" i="22"/>
  <c r="N9" i="22"/>
  <c r="M9" i="22"/>
  <c r="L9" i="22"/>
  <c r="K9" i="22"/>
  <c r="J9" i="22"/>
  <c r="M9" i="23"/>
  <c r="N9" i="23"/>
  <c r="O9" i="23"/>
  <c r="P9" i="23"/>
  <c r="Q9" i="23"/>
  <c r="R9" i="23"/>
  <c r="S9" i="23"/>
  <c r="T9" i="23"/>
  <c r="U9" i="23"/>
  <c r="M10" i="23"/>
  <c r="N10" i="23"/>
  <c r="O10" i="23"/>
  <c r="P10" i="23"/>
  <c r="Q10" i="23"/>
  <c r="R10" i="23"/>
  <c r="S10" i="23"/>
  <c r="T10" i="23"/>
  <c r="U10" i="23"/>
  <c r="K11" i="23"/>
  <c r="M11" i="23"/>
  <c r="N11" i="23"/>
  <c r="Q11" i="23"/>
  <c r="R11" i="23"/>
  <c r="S11" i="23"/>
  <c r="T11" i="23"/>
  <c r="U11" i="23"/>
  <c r="K12" i="23"/>
  <c r="L12" i="23"/>
  <c r="M12" i="23"/>
  <c r="N12" i="23"/>
  <c r="O12" i="23"/>
  <c r="P12" i="23"/>
  <c r="Q12" i="23"/>
  <c r="R12" i="23"/>
  <c r="S12" i="23"/>
  <c r="T12" i="23"/>
  <c r="U12" i="23"/>
  <c r="K13" i="23"/>
  <c r="M13" i="23"/>
  <c r="N13" i="23"/>
  <c r="Q13" i="23"/>
  <c r="R13" i="23"/>
  <c r="S13" i="23"/>
  <c r="T13" i="23"/>
  <c r="U13" i="23"/>
  <c r="J13" i="23"/>
  <c r="K7" i="24"/>
  <c r="M7" i="24"/>
  <c r="N7" i="24"/>
  <c r="O7" i="24"/>
  <c r="P7" i="24"/>
  <c r="Q7" i="24"/>
  <c r="R7" i="24"/>
  <c r="S7" i="24"/>
  <c r="T7" i="24"/>
  <c r="U7" i="24"/>
  <c r="M8" i="24"/>
  <c r="N8" i="24"/>
  <c r="O8" i="24"/>
  <c r="P8" i="24"/>
  <c r="T8" i="24"/>
  <c r="U8" i="24"/>
  <c r="K9" i="24"/>
  <c r="N9" i="24"/>
  <c r="P9" i="24"/>
  <c r="S9" i="24"/>
  <c r="U9" i="24"/>
  <c r="J9" i="24"/>
  <c r="U15" i="25"/>
  <c r="T15" i="25"/>
  <c r="S15" i="25"/>
  <c r="R15" i="25"/>
  <c r="Q15" i="25"/>
  <c r="P15" i="25"/>
  <c r="O15" i="25"/>
  <c r="N15" i="25"/>
  <c r="L15" i="25"/>
  <c r="J15" i="25"/>
  <c r="U14" i="25"/>
  <c r="T14" i="25"/>
  <c r="S14" i="25"/>
  <c r="R14" i="25"/>
  <c r="Q14" i="25"/>
  <c r="P14" i="25"/>
  <c r="O14" i="25"/>
  <c r="N14" i="25"/>
  <c r="K14" i="25"/>
  <c r="U13" i="25"/>
  <c r="T13" i="25"/>
  <c r="R13" i="25"/>
  <c r="Q13" i="25"/>
  <c r="P13" i="25"/>
  <c r="O13" i="25"/>
  <c r="N13" i="25"/>
  <c r="M13" i="25"/>
  <c r="K13" i="25"/>
  <c r="J13" i="25"/>
  <c r="U12" i="25"/>
  <c r="T12" i="25"/>
  <c r="S12" i="25"/>
  <c r="R12" i="25"/>
  <c r="Q12" i="25"/>
  <c r="P12" i="25"/>
  <c r="N12" i="25"/>
  <c r="M12" i="25"/>
  <c r="L12" i="25"/>
  <c r="K12" i="25"/>
  <c r="J12" i="25"/>
  <c r="U11" i="25"/>
  <c r="T11" i="25"/>
  <c r="R11" i="25"/>
  <c r="Q11" i="25"/>
  <c r="P11" i="25"/>
  <c r="O11" i="25"/>
  <c r="N11" i="25"/>
  <c r="M11" i="25"/>
  <c r="L11" i="25"/>
  <c r="K11" i="25"/>
  <c r="J11" i="25"/>
  <c r="U10" i="25"/>
  <c r="T10" i="25"/>
  <c r="S10" i="25"/>
  <c r="R10" i="25"/>
  <c r="Q10" i="25"/>
  <c r="P10" i="25"/>
  <c r="O10" i="25"/>
  <c r="N10" i="25"/>
  <c r="L10" i="25"/>
  <c r="K10" i="25"/>
  <c r="J10" i="25"/>
  <c r="U15" i="26"/>
  <c r="T15" i="26"/>
  <c r="S15" i="26"/>
  <c r="R15" i="26"/>
  <c r="Q15" i="26"/>
  <c r="P15" i="26"/>
  <c r="O15" i="26"/>
  <c r="N15" i="26"/>
  <c r="M15" i="26"/>
  <c r="L15" i="26"/>
  <c r="K15" i="26"/>
  <c r="J15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U10" i="26"/>
  <c r="T10" i="26"/>
  <c r="S10" i="26"/>
  <c r="R10" i="26"/>
  <c r="Q10" i="26"/>
  <c r="P10" i="26"/>
  <c r="O10" i="26"/>
  <c r="N10" i="26"/>
  <c r="M10" i="26"/>
  <c r="L10" i="26"/>
  <c r="U15" i="27"/>
  <c r="T15" i="27"/>
  <c r="S15" i="27"/>
  <c r="R15" i="27"/>
  <c r="Q15" i="27"/>
  <c r="P15" i="27"/>
  <c r="O15" i="27"/>
  <c r="N15" i="27"/>
  <c r="M15" i="27"/>
  <c r="L15" i="27"/>
  <c r="K15" i="27"/>
  <c r="J15" i="27"/>
  <c r="U14" i="27"/>
  <c r="T14" i="27"/>
  <c r="R14" i="27"/>
  <c r="Q14" i="27"/>
  <c r="P14" i="27"/>
  <c r="O14" i="27"/>
  <c r="N14" i="27"/>
  <c r="M14" i="27"/>
  <c r="L14" i="27"/>
  <c r="K14" i="27"/>
  <c r="J14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U10" i="27"/>
  <c r="S10" i="27"/>
  <c r="R10" i="27"/>
  <c r="Q10" i="27"/>
  <c r="P10" i="27"/>
  <c r="O10" i="27"/>
  <c r="N10" i="27"/>
  <c r="M10" i="27"/>
  <c r="J10" i="27"/>
  <c r="U15" i="2"/>
  <c r="T15" i="2"/>
  <c r="S15" i="2"/>
  <c r="R15" i="2"/>
  <c r="Q15" i="2"/>
  <c r="P15" i="2"/>
  <c r="N15" i="2"/>
  <c r="M15" i="2"/>
  <c r="L15" i="2"/>
  <c r="J15" i="2"/>
  <c r="U14" i="2"/>
  <c r="T14" i="2"/>
  <c r="S14" i="2"/>
  <c r="R14" i="2"/>
  <c r="Q14" i="2"/>
  <c r="P14" i="2"/>
  <c r="N14" i="2"/>
  <c r="K14" i="2"/>
  <c r="J14" i="2"/>
  <c r="U13" i="2"/>
  <c r="T13" i="2"/>
  <c r="S13" i="2"/>
  <c r="R13" i="2"/>
  <c r="Q13" i="2"/>
  <c r="P13" i="2"/>
  <c r="N13" i="2"/>
  <c r="M13" i="2"/>
  <c r="J13" i="2"/>
  <c r="U12" i="2"/>
  <c r="T12" i="2"/>
  <c r="S12" i="2"/>
  <c r="R12" i="2"/>
  <c r="P12" i="2"/>
  <c r="N12" i="2"/>
  <c r="J12" i="2"/>
  <c r="U11" i="2"/>
  <c r="T11" i="2"/>
  <c r="S11" i="2"/>
  <c r="R11" i="2"/>
  <c r="Q11" i="2"/>
  <c r="N11" i="2"/>
  <c r="M11" i="2"/>
  <c r="J11" i="2"/>
  <c r="U10" i="2"/>
  <c r="T10" i="2"/>
  <c r="S10" i="2"/>
  <c r="R10" i="2"/>
  <c r="P10" i="2"/>
  <c r="O10" i="2"/>
  <c r="N10" i="2"/>
  <c r="M10" i="2"/>
  <c r="J10" i="2"/>
  <c r="U15" i="3"/>
  <c r="T15" i="3"/>
  <c r="S15" i="3"/>
  <c r="R15" i="3"/>
  <c r="Q15" i="3"/>
  <c r="P15" i="3"/>
  <c r="O15" i="3"/>
  <c r="N15" i="3"/>
  <c r="M15" i="3"/>
  <c r="L15" i="3"/>
  <c r="K15" i="3"/>
  <c r="J15" i="3"/>
  <c r="U14" i="3"/>
  <c r="T14" i="3"/>
  <c r="S14" i="3"/>
  <c r="R14" i="3"/>
  <c r="Q14" i="3"/>
  <c r="P14" i="3"/>
  <c r="O14" i="3"/>
  <c r="N14" i="3"/>
  <c r="M14" i="3"/>
  <c r="L14" i="3"/>
  <c r="K14" i="3"/>
  <c r="J14" i="3"/>
  <c r="U13" i="3"/>
  <c r="T13" i="3"/>
  <c r="S13" i="3"/>
  <c r="R13" i="3"/>
  <c r="Q13" i="3"/>
  <c r="P13" i="3"/>
  <c r="O13" i="3"/>
  <c r="N13" i="3"/>
  <c r="M13" i="3"/>
  <c r="L13" i="3"/>
  <c r="K13" i="3"/>
  <c r="J13" i="3"/>
  <c r="U12" i="3"/>
  <c r="T12" i="3"/>
  <c r="S12" i="3"/>
  <c r="R12" i="3"/>
  <c r="Q12" i="3"/>
  <c r="P12" i="3"/>
  <c r="O12" i="3"/>
  <c r="N12" i="3"/>
  <c r="M12" i="3"/>
  <c r="L12" i="3"/>
  <c r="K12" i="3"/>
  <c r="U11" i="3"/>
  <c r="T11" i="3"/>
  <c r="S11" i="3"/>
  <c r="R11" i="3"/>
  <c r="Q11" i="3"/>
  <c r="P11" i="3"/>
  <c r="N11" i="3"/>
  <c r="M11" i="3"/>
  <c r="L11" i="3"/>
  <c r="K11" i="3"/>
  <c r="J11" i="3"/>
  <c r="U10" i="3"/>
  <c r="T10" i="3"/>
  <c r="S10" i="3"/>
  <c r="R10" i="3"/>
  <c r="Q10" i="3"/>
  <c r="P10" i="3"/>
  <c r="N10" i="3"/>
  <c r="M10" i="3"/>
  <c r="L10" i="3"/>
  <c r="K10" i="3"/>
  <c r="J10" i="3"/>
  <c r="U15" i="4"/>
  <c r="T15" i="4"/>
  <c r="S15" i="4"/>
  <c r="R15" i="4"/>
  <c r="Q15" i="4"/>
  <c r="P15" i="4"/>
  <c r="O15" i="4"/>
  <c r="N15" i="4"/>
  <c r="M15" i="4"/>
  <c r="J15" i="4"/>
  <c r="U14" i="4"/>
  <c r="T14" i="4"/>
  <c r="S14" i="4"/>
  <c r="R14" i="4"/>
  <c r="Q14" i="4"/>
  <c r="P14" i="4"/>
  <c r="O14" i="4"/>
  <c r="N14" i="4"/>
  <c r="M14" i="4"/>
  <c r="K14" i="4"/>
  <c r="U13" i="4"/>
  <c r="T13" i="4"/>
  <c r="S13" i="4"/>
  <c r="R13" i="4"/>
  <c r="Q13" i="4"/>
  <c r="P13" i="4"/>
  <c r="O13" i="4"/>
  <c r="N13" i="4"/>
  <c r="L13" i="4"/>
  <c r="K13" i="4"/>
  <c r="J13" i="4"/>
  <c r="U12" i="4"/>
  <c r="T12" i="4"/>
  <c r="S12" i="4"/>
  <c r="R12" i="4"/>
  <c r="Q12" i="4"/>
  <c r="P12" i="4"/>
  <c r="O12" i="4"/>
  <c r="N12" i="4"/>
  <c r="M12" i="4"/>
  <c r="L12" i="4"/>
  <c r="K12" i="4"/>
  <c r="U11" i="4"/>
  <c r="T11" i="4"/>
  <c r="S11" i="4"/>
  <c r="Q11" i="4"/>
  <c r="O11" i="4"/>
  <c r="N11" i="4"/>
  <c r="M11" i="4"/>
  <c r="L11" i="4"/>
  <c r="K11" i="4"/>
  <c r="U10" i="4"/>
  <c r="T10" i="4"/>
  <c r="S10" i="4"/>
  <c r="R10" i="4"/>
  <c r="Q10" i="4"/>
  <c r="P10" i="4"/>
  <c r="O10" i="4"/>
  <c r="N10" i="4"/>
  <c r="L10" i="4"/>
  <c r="K10" i="4"/>
  <c r="U15" i="5"/>
  <c r="T15" i="5"/>
  <c r="S15" i="5"/>
  <c r="R15" i="5"/>
  <c r="Q15" i="5"/>
  <c r="P15" i="5"/>
  <c r="O15" i="5"/>
  <c r="N15" i="5"/>
  <c r="M15" i="5"/>
  <c r="K15" i="5"/>
  <c r="J15" i="5"/>
  <c r="U14" i="5"/>
  <c r="T14" i="5"/>
  <c r="S14" i="5"/>
  <c r="R14" i="5"/>
  <c r="Q14" i="5"/>
  <c r="P14" i="5"/>
  <c r="O14" i="5"/>
  <c r="N14" i="5"/>
  <c r="M14" i="5"/>
  <c r="K14" i="5"/>
  <c r="U13" i="5"/>
  <c r="T13" i="5"/>
  <c r="S13" i="5"/>
  <c r="R13" i="5"/>
  <c r="Q13" i="5"/>
  <c r="P13" i="5"/>
  <c r="O13" i="5"/>
  <c r="N13" i="5"/>
  <c r="M13" i="5"/>
  <c r="L13" i="5"/>
  <c r="K13" i="5"/>
  <c r="U12" i="5"/>
  <c r="T12" i="5"/>
  <c r="S12" i="5"/>
  <c r="R12" i="5"/>
  <c r="Q12" i="5"/>
  <c r="P12" i="5"/>
  <c r="O12" i="5"/>
  <c r="N12" i="5"/>
  <c r="M12" i="5"/>
  <c r="L12" i="5"/>
  <c r="K12" i="5"/>
  <c r="J12" i="5"/>
  <c r="U11" i="5"/>
  <c r="T11" i="5"/>
  <c r="S11" i="5"/>
  <c r="R11" i="5"/>
  <c r="Q11" i="5"/>
  <c r="O11" i="5"/>
  <c r="N11" i="5"/>
  <c r="M11" i="5"/>
  <c r="K11" i="5"/>
  <c r="J11" i="5"/>
  <c r="U10" i="5"/>
  <c r="T10" i="5"/>
  <c r="R10" i="5"/>
  <c r="Q10" i="5"/>
  <c r="P10" i="5"/>
  <c r="O10" i="5"/>
  <c r="N10" i="5"/>
  <c r="M10" i="5"/>
  <c r="L10" i="5"/>
  <c r="J10" i="5"/>
  <c r="K10" i="6"/>
  <c r="N10" i="6"/>
  <c r="P10" i="6"/>
  <c r="Q10" i="6"/>
  <c r="R10" i="6"/>
  <c r="T10" i="6"/>
  <c r="U10" i="6"/>
  <c r="M11" i="6"/>
  <c r="N11" i="6"/>
  <c r="P11" i="6"/>
  <c r="Q11" i="6"/>
  <c r="R11" i="6"/>
  <c r="T11" i="6"/>
  <c r="U11" i="6"/>
  <c r="M12" i="6"/>
  <c r="N12" i="6"/>
  <c r="P12" i="6"/>
  <c r="Q12" i="6"/>
  <c r="R12" i="6"/>
  <c r="T12" i="6"/>
  <c r="U12" i="6"/>
  <c r="M13" i="6"/>
  <c r="N13" i="6"/>
  <c r="P13" i="6"/>
  <c r="Q13" i="6"/>
  <c r="R13" i="6"/>
  <c r="T13" i="6"/>
  <c r="U13" i="6"/>
  <c r="M14" i="6"/>
  <c r="N14" i="6"/>
  <c r="O14" i="6"/>
  <c r="P14" i="6"/>
  <c r="Q14" i="6"/>
  <c r="R14" i="6"/>
  <c r="T14" i="6"/>
  <c r="U14" i="6"/>
  <c r="M15" i="6"/>
  <c r="N15" i="6"/>
  <c r="P15" i="6"/>
  <c r="Q15" i="6"/>
  <c r="R15" i="6"/>
  <c r="T15" i="6"/>
  <c r="U15" i="6"/>
  <c r="J11" i="6"/>
  <c r="J12" i="6"/>
  <c r="J13" i="6"/>
  <c r="J14" i="6"/>
  <c r="J15" i="6"/>
  <c r="M9" i="7"/>
  <c r="N9" i="7"/>
  <c r="O9" i="7"/>
  <c r="Q9" i="7"/>
  <c r="R9" i="7"/>
  <c r="S9" i="7"/>
  <c r="T9" i="7"/>
  <c r="U9" i="7"/>
  <c r="M10" i="7"/>
  <c r="N10" i="7"/>
  <c r="O10" i="7"/>
  <c r="Q10" i="7"/>
  <c r="R10" i="7"/>
  <c r="S10" i="7"/>
  <c r="T10" i="7"/>
  <c r="U10" i="7"/>
  <c r="M11" i="7"/>
  <c r="N11" i="7"/>
  <c r="O11" i="7"/>
  <c r="Q11" i="7"/>
  <c r="R11" i="7"/>
  <c r="T11" i="7"/>
  <c r="U11" i="7"/>
  <c r="M12" i="7"/>
  <c r="N12" i="7"/>
  <c r="O12" i="7"/>
  <c r="P12" i="7"/>
  <c r="Q12" i="7"/>
  <c r="R12" i="7"/>
  <c r="S12" i="7"/>
  <c r="T12" i="7"/>
  <c r="U12" i="7"/>
  <c r="M13" i="7"/>
  <c r="N13" i="7"/>
  <c r="O13" i="7"/>
  <c r="P13" i="7"/>
  <c r="Q13" i="7"/>
  <c r="R13" i="7"/>
  <c r="S13" i="7"/>
  <c r="T13" i="7"/>
  <c r="U13" i="7"/>
  <c r="J10" i="7"/>
  <c r="E10" i="7" s="1" a="1"/>
  <c r="E10" i="7" s="1"/>
  <c r="F10" i="7" s="1"/>
  <c r="J11" i="7"/>
  <c r="J12" i="7"/>
  <c r="E12" i="7" s="1" a="1"/>
  <c r="E12" i="7" s="1"/>
  <c r="F12" i="7" s="1"/>
  <c r="E13" i="7" a="1"/>
  <c r="E13" i="7" s="1"/>
  <c r="F13" i="7" s="1"/>
  <c r="J9" i="7"/>
  <c r="U15" i="8"/>
  <c r="T15" i="8"/>
  <c r="R15" i="8"/>
  <c r="P15" i="8"/>
  <c r="O15" i="8"/>
  <c r="N15" i="8"/>
  <c r="M15" i="8"/>
  <c r="L15" i="8"/>
  <c r="K15" i="8"/>
  <c r="J15" i="8"/>
  <c r="U14" i="8"/>
  <c r="T14" i="8"/>
  <c r="R14" i="8"/>
  <c r="Q14" i="8"/>
  <c r="P14" i="8"/>
  <c r="O14" i="8"/>
  <c r="N14" i="8"/>
  <c r="M14" i="8"/>
  <c r="K14" i="8"/>
  <c r="J14" i="8"/>
  <c r="U13" i="8"/>
  <c r="T13" i="8"/>
  <c r="R13" i="8"/>
  <c r="Q13" i="8"/>
  <c r="P13" i="8"/>
  <c r="O13" i="8"/>
  <c r="N13" i="8"/>
  <c r="M13" i="8"/>
  <c r="K13" i="8"/>
  <c r="J13" i="8"/>
  <c r="U12" i="8"/>
  <c r="T12" i="8"/>
  <c r="R12" i="8"/>
  <c r="Q12" i="8"/>
  <c r="O12" i="8"/>
  <c r="N12" i="8"/>
  <c r="M12" i="8"/>
  <c r="L12" i="8"/>
  <c r="J12" i="8"/>
  <c r="U11" i="8"/>
  <c r="T11" i="8"/>
  <c r="R11" i="8"/>
  <c r="Q11" i="8"/>
  <c r="P11" i="8"/>
  <c r="O11" i="8"/>
  <c r="N11" i="8"/>
  <c r="M11" i="8"/>
  <c r="L11" i="8"/>
  <c r="K11" i="8"/>
  <c r="U10" i="8"/>
  <c r="T10" i="8"/>
  <c r="R10" i="8"/>
  <c r="Q10" i="8"/>
  <c r="P10" i="8"/>
  <c r="O10" i="8"/>
  <c r="N10" i="8"/>
  <c r="M10" i="8"/>
  <c r="L10" i="8"/>
  <c r="K10" i="8"/>
  <c r="U15" i="9"/>
  <c r="T15" i="9"/>
  <c r="S15" i="9"/>
  <c r="R15" i="9"/>
  <c r="Q15" i="9"/>
  <c r="P15" i="9"/>
  <c r="O15" i="9"/>
  <c r="N15" i="9"/>
  <c r="M15" i="9"/>
  <c r="L15" i="9"/>
  <c r="K15" i="9"/>
  <c r="J15" i="9"/>
  <c r="U14" i="9"/>
  <c r="T14" i="9"/>
  <c r="S14" i="9"/>
  <c r="R14" i="9"/>
  <c r="Q14" i="9"/>
  <c r="P14" i="9"/>
  <c r="O14" i="9"/>
  <c r="N14" i="9"/>
  <c r="M14" i="9"/>
  <c r="L14" i="9"/>
  <c r="K14" i="9"/>
  <c r="J14" i="9"/>
  <c r="U13" i="9"/>
  <c r="T13" i="9"/>
  <c r="S13" i="9"/>
  <c r="R13" i="9"/>
  <c r="Q13" i="9"/>
  <c r="P13" i="9"/>
  <c r="O13" i="9"/>
  <c r="N13" i="9"/>
  <c r="M13" i="9"/>
  <c r="L13" i="9"/>
  <c r="K13" i="9"/>
  <c r="J13" i="9"/>
  <c r="U12" i="9"/>
  <c r="T12" i="9"/>
  <c r="S12" i="9"/>
  <c r="R12" i="9"/>
  <c r="Q12" i="9"/>
  <c r="P12" i="9"/>
  <c r="O12" i="9"/>
  <c r="N12" i="9"/>
  <c r="M12" i="9"/>
  <c r="L12" i="9"/>
  <c r="K12" i="9"/>
  <c r="J12" i="9"/>
  <c r="U11" i="9"/>
  <c r="T11" i="9"/>
  <c r="S11" i="9"/>
  <c r="R11" i="9"/>
  <c r="Q11" i="9"/>
  <c r="P11" i="9"/>
  <c r="O11" i="9"/>
  <c r="N11" i="9"/>
  <c r="M11" i="9"/>
  <c r="L11" i="9"/>
  <c r="K11" i="9"/>
  <c r="J11" i="9"/>
  <c r="U10" i="9"/>
  <c r="T10" i="9"/>
  <c r="S10" i="9"/>
  <c r="R10" i="9"/>
  <c r="Q10" i="9"/>
  <c r="P10" i="9"/>
  <c r="O10" i="9"/>
  <c r="N10" i="9"/>
  <c r="M10" i="9"/>
  <c r="L10" i="9"/>
  <c r="K10" i="9"/>
  <c r="J10" i="9"/>
  <c r="U15" i="10"/>
  <c r="T15" i="10"/>
  <c r="S15" i="10"/>
  <c r="R15" i="10"/>
  <c r="Q15" i="10"/>
  <c r="P15" i="10"/>
  <c r="O15" i="10"/>
  <c r="N15" i="10"/>
  <c r="M15" i="10"/>
  <c r="L15" i="10"/>
  <c r="K15" i="10"/>
  <c r="J15" i="10"/>
  <c r="U14" i="10"/>
  <c r="T14" i="10"/>
  <c r="S14" i="10"/>
  <c r="R14" i="10"/>
  <c r="Q14" i="10"/>
  <c r="P14" i="10"/>
  <c r="O14" i="10"/>
  <c r="N14" i="10"/>
  <c r="M14" i="10"/>
  <c r="L14" i="10"/>
  <c r="K14" i="10"/>
  <c r="U13" i="10"/>
  <c r="T13" i="10"/>
  <c r="S13" i="10"/>
  <c r="R13" i="10"/>
  <c r="Q13" i="10"/>
  <c r="P13" i="10"/>
  <c r="O13" i="10"/>
  <c r="N13" i="10"/>
  <c r="M13" i="10"/>
  <c r="L13" i="10"/>
  <c r="K13" i="10"/>
  <c r="U12" i="10"/>
  <c r="T12" i="10"/>
  <c r="S12" i="10"/>
  <c r="R12" i="10"/>
  <c r="Q12" i="10"/>
  <c r="N12" i="10"/>
  <c r="M12" i="10"/>
  <c r="L12" i="10"/>
  <c r="K12" i="10"/>
  <c r="J12" i="10"/>
  <c r="U11" i="10"/>
  <c r="T11" i="10"/>
  <c r="S11" i="10"/>
  <c r="R11" i="10"/>
  <c r="Q11" i="10"/>
  <c r="P11" i="10"/>
  <c r="N11" i="10"/>
  <c r="M11" i="10"/>
  <c r="L11" i="10"/>
  <c r="K11" i="10"/>
  <c r="J11" i="10"/>
  <c r="U10" i="10"/>
  <c r="T10" i="10"/>
  <c r="S10" i="10"/>
  <c r="R10" i="10"/>
  <c r="Q10" i="10"/>
  <c r="P10" i="10"/>
  <c r="N10" i="10"/>
  <c r="M10" i="10"/>
  <c r="L10" i="10"/>
  <c r="K10" i="10"/>
  <c r="J10" i="10"/>
  <c r="K10" i="11"/>
  <c r="L10" i="11"/>
  <c r="M10" i="11"/>
  <c r="N10" i="11"/>
  <c r="O10" i="11"/>
  <c r="P10" i="11"/>
  <c r="Q10" i="11"/>
  <c r="R10" i="11"/>
  <c r="S10" i="11"/>
  <c r="T10" i="11"/>
  <c r="U10" i="11"/>
  <c r="K11" i="11"/>
  <c r="L11" i="11"/>
  <c r="M11" i="11"/>
  <c r="N11" i="11"/>
  <c r="O11" i="11"/>
  <c r="P11" i="11"/>
  <c r="Q11" i="11"/>
  <c r="R11" i="11"/>
  <c r="S11" i="11"/>
  <c r="T11" i="11"/>
  <c r="U11" i="11"/>
  <c r="K12" i="11"/>
  <c r="L12" i="11"/>
  <c r="M12" i="11"/>
  <c r="N12" i="11"/>
  <c r="O12" i="11"/>
  <c r="P12" i="11"/>
  <c r="Q12" i="11"/>
  <c r="R12" i="11"/>
  <c r="S12" i="11"/>
  <c r="T12" i="11"/>
  <c r="U12" i="11"/>
  <c r="K13" i="11"/>
  <c r="L13" i="11"/>
  <c r="M13" i="11"/>
  <c r="N13" i="11"/>
  <c r="O13" i="11"/>
  <c r="P13" i="11"/>
  <c r="Q13" i="11"/>
  <c r="R13" i="11"/>
  <c r="T13" i="11"/>
  <c r="U13" i="11"/>
  <c r="K14" i="11"/>
  <c r="L14" i="11"/>
  <c r="M14" i="11"/>
  <c r="N14" i="11"/>
  <c r="O14" i="11"/>
  <c r="P14" i="11"/>
  <c r="Q14" i="11"/>
  <c r="R14" i="11"/>
  <c r="T14" i="11"/>
  <c r="U14" i="11"/>
  <c r="K15" i="11"/>
  <c r="L15" i="11"/>
  <c r="M15" i="11"/>
  <c r="N15" i="11"/>
  <c r="O15" i="11"/>
  <c r="P15" i="11"/>
  <c r="Q15" i="11"/>
  <c r="R15" i="11"/>
  <c r="T15" i="11"/>
  <c r="U15" i="11"/>
  <c r="J11" i="11"/>
  <c r="J12" i="11"/>
  <c r="J13" i="11"/>
  <c r="J14" i="11"/>
  <c r="J15" i="11"/>
  <c r="J10" i="11"/>
  <c r="U13" i="13"/>
  <c r="T13" i="13"/>
  <c r="S13" i="13"/>
  <c r="R13" i="13"/>
  <c r="Q13" i="13"/>
  <c r="P13" i="13"/>
  <c r="O13" i="13"/>
  <c r="N13" i="13"/>
  <c r="M13" i="13"/>
  <c r="L13" i="13"/>
  <c r="K13" i="13"/>
  <c r="U12" i="13"/>
  <c r="T12" i="13"/>
  <c r="S12" i="13"/>
  <c r="R12" i="13"/>
  <c r="Q12" i="13"/>
  <c r="O12" i="13"/>
  <c r="N12" i="13"/>
  <c r="M12" i="13"/>
  <c r="L12" i="13"/>
  <c r="J12" i="13"/>
  <c r="U11" i="13"/>
  <c r="T11" i="13"/>
  <c r="S11" i="13"/>
  <c r="R11" i="13"/>
  <c r="Q11" i="13"/>
  <c r="O11" i="13"/>
  <c r="N11" i="13"/>
  <c r="M11" i="13"/>
  <c r="L11" i="13"/>
  <c r="K11" i="13"/>
  <c r="J11" i="13"/>
  <c r="U10" i="13"/>
  <c r="T10" i="13"/>
  <c r="S10" i="13"/>
  <c r="R10" i="13"/>
  <c r="Q10" i="13"/>
  <c r="P10" i="13"/>
  <c r="O10" i="13"/>
  <c r="N10" i="13"/>
  <c r="M10" i="13"/>
  <c r="L10" i="13"/>
  <c r="K10" i="13"/>
  <c r="U9" i="13"/>
  <c r="T9" i="13"/>
  <c r="S9" i="13"/>
  <c r="R9" i="13"/>
  <c r="Q9" i="13"/>
  <c r="P9" i="13"/>
  <c r="O9" i="13"/>
  <c r="N9" i="13"/>
  <c r="M9" i="13"/>
  <c r="L9" i="13"/>
  <c r="K9" i="13"/>
  <c r="J10" i="28"/>
  <c r="E10" i="28" s="1" a="1"/>
  <c r="E10" i="28" s="1"/>
  <c r="F10" i="28" s="1"/>
  <c r="N10" i="28"/>
  <c r="Q10" i="28"/>
  <c r="R10" i="28"/>
  <c r="S10" i="28"/>
  <c r="T10" i="28"/>
  <c r="U10" i="28"/>
  <c r="J11" i="28"/>
  <c r="K11" i="28"/>
  <c r="L11" i="28"/>
  <c r="M11" i="28"/>
  <c r="N11" i="28"/>
  <c r="O11" i="28"/>
  <c r="Q11" i="28"/>
  <c r="E11" i="28" s="1" a="1"/>
  <c r="E11" i="28" s="1"/>
  <c r="F11" i="28" s="1"/>
  <c r="R11" i="28"/>
  <c r="S11" i="28"/>
  <c r="T11" i="28"/>
  <c r="U11" i="28"/>
  <c r="J12" i="28"/>
  <c r="E12" i="28" s="1" a="1"/>
  <c r="E12" i="28" s="1"/>
  <c r="F12" i="28" s="1"/>
  <c r="K12" i="28"/>
  <c r="L12" i="28"/>
  <c r="M12" i="28"/>
  <c r="N12" i="28"/>
  <c r="O12" i="28"/>
  <c r="P12" i="28"/>
  <c r="Q12" i="28"/>
  <c r="R12" i="28"/>
  <c r="S12" i="28"/>
  <c r="T12" i="28"/>
  <c r="U12" i="28"/>
  <c r="J13" i="28"/>
  <c r="E13" i="28" s="1" a="1"/>
  <c r="E13" i="28" s="1"/>
  <c r="F13" i="28" s="1"/>
  <c r="L13" i="28"/>
  <c r="O13" i="28"/>
  <c r="P13" i="28"/>
  <c r="Q13" i="28"/>
  <c r="R13" i="28"/>
  <c r="S13" i="28"/>
  <c r="T13" i="28"/>
  <c r="U13" i="28"/>
  <c r="K9" i="28"/>
  <c r="L9" i="28"/>
  <c r="M9" i="28"/>
  <c r="N9" i="28"/>
  <c r="Q9" i="28"/>
  <c r="R9" i="28"/>
  <c r="S9" i="28"/>
  <c r="T9" i="28"/>
  <c r="U9" i="28"/>
  <c r="J9" i="28"/>
  <c r="L7" i="12"/>
  <c r="M7" i="12"/>
  <c r="N7" i="12"/>
  <c r="O7" i="12"/>
  <c r="P7" i="12"/>
  <c r="Q7" i="12"/>
  <c r="S7" i="12"/>
  <c r="T7" i="12"/>
  <c r="U7" i="12"/>
  <c r="L8" i="12"/>
  <c r="M8" i="12"/>
  <c r="N8" i="12"/>
  <c r="P8" i="12"/>
  <c r="Q8" i="12"/>
  <c r="R8" i="12"/>
  <c r="S8" i="12"/>
  <c r="T8" i="12"/>
  <c r="U8" i="12"/>
  <c r="L9" i="12"/>
  <c r="M9" i="12"/>
  <c r="N9" i="12"/>
  <c r="P9" i="12"/>
  <c r="Q9" i="12"/>
  <c r="R9" i="12"/>
  <c r="S9" i="12"/>
  <c r="T9" i="12"/>
  <c r="U9" i="12"/>
  <c r="J8" i="12"/>
  <c r="J9" i="12"/>
  <c r="J7" i="12"/>
  <c r="E9" i="28" l="1" a="1"/>
  <c r="E9" i="28" s="1"/>
  <c r="F9" i="28" s="1"/>
  <c r="E9" i="7" a="1"/>
  <c r="E9" i="7" s="1"/>
  <c r="F9" i="7" s="1"/>
  <c r="E11" i="7" a="1"/>
  <c r="E11" i="7" s="1"/>
  <c r="F11" i="7" s="1"/>
  <c r="F13" i="23"/>
  <c r="F12" i="23"/>
  <c r="F11" i="23"/>
  <c r="F10" i="23"/>
  <c r="F9" i="23"/>
  <c r="F12" i="22"/>
  <c r="F13" i="22"/>
  <c r="F11" i="22"/>
  <c r="F9" i="22"/>
  <c r="F14" i="21"/>
  <c r="F11" i="21"/>
  <c r="F10" i="21"/>
  <c r="F12" i="21"/>
  <c r="F13" i="21"/>
  <c r="E9" i="18" a="1"/>
  <c r="E9" i="18" s="1"/>
  <c r="F9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<sst xmlns="http://schemas.openxmlformats.org/spreadsheetml/2006/main" count="1050" uniqueCount="21">
  <si>
    <t>Iteration</t>
  </si>
  <si>
    <t>Feasibility</t>
  </si>
  <si>
    <t>Marbles</t>
  </si>
  <si>
    <t>Range</t>
  </si>
  <si>
    <t>Cost</t>
  </si>
  <si>
    <t>Fleet_Size</t>
  </si>
  <si>
    <t>Steps</t>
  </si>
  <si>
    <t>PercentEffective</t>
  </si>
  <si>
    <t>iterTime</t>
  </si>
  <si>
    <t>Thick_Popsicle_Stick</t>
  </si>
  <si>
    <t>Thin_Popsicle_Stick</t>
  </si>
  <si>
    <t>Dowels</t>
  </si>
  <si>
    <t>Pipe_Cleaner</t>
  </si>
  <si>
    <t>Construction_Paper</t>
  </si>
  <si>
    <t>Small_Cardboard_Tubes</t>
  </si>
  <si>
    <t>Large_Cardboard_Tubes</t>
  </si>
  <si>
    <t>Small_Styrofoam_Spheres</t>
  </si>
  <si>
    <t>Large_Styrofoam_Spheres</t>
  </si>
  <si>
    <t>Fabric</t>
  </si>
  <si>
    <t>Wheels</t>
  </si>
  <si>
    <t>Blue_Batteries_Beads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</si>
</sst>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1"/>
    <xf numFmtId="0" fontId="0" fillId="2" borderId="0" xfId="0" applyFill="1"/>
    <xf numFmtId="0" fontId="0" fillId="3" borderId="2" xfId="0" applyFill="1" applyBorder="1"/>
    <xf numFmtId="0" fontId="0" fillId="4" borderId="0" xfId="0" applyFill="1"/>
    <xf numFmtId="0" fontId="0" fillId="3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2" xfId="0" applyFill="1" applyBorder="1"/>
    <xf numFmtId="0" fontId="0" fillId="2" borderId="3" xfId="0" applyFill="1" applyBorder="1"/>
    <xf numFmtId="0" fontId="0" fillId="4" borderId="7" xfId="0" applyFill="1" applyBorder="1"/>
    <xf numFmtId="0" fontId="0" fillId="4" borderId="10" xfId="0" applyFill="1" applyBorder="1"/>
    <xf numFmtId="0" fontId="0" fillId="2" borderId="13" xfId="0" applyFill="1" applyBorder="1"/>
    <xf numFmtId="0" fontId="0" fillId="4" borderId="8" xfId="0" applyFill="1" applyBorder="1"/>
    <xf numFmtId="0" fontId="0" fillId="4" borderId="13" xfId="0" applyFill="1" applyBorder="1"/>
    <xf numFmtId="0" fontId="0" fillId="2" borderId="10" xfId="0" applyFill="1" applyBorder="1"/>
    <xf numFmtId="0" fontId="0" fillId="2" borderId="12" xfId="0" applyFill="1" applyBorder="1"/>
    <xf numFmtId="0" fontId="0" fillId="2" borderId="8" xfId="0" applyFill="1" applyBorder="1"/>
    <xf numFmtId="0" fontId="0" fillId="4" borderId="12" xfId="0" applyFill="1" applyBorder="1"/>
    <xf numFmtId="0" fontId="0" fillId="3" borderId="3" xfId="0" applyFill="1" applyBorder="1"/>
    <xf numFmtId="0" fontId="0" fillId="2" borderId="7" xfId="0" applyFill="1" applyBorder="1"/>
    <xf numFmtId="0" fontId="0" fillId="2" borderId="15" xfId="0" applyFill="1" applyBorder="1"/>
    <xf numFmtId="0" fontId="0" fillId="3" borderId="15" xfId="0" applyFill="1" applyBorder="1"/>
  </cellXfs>
  <cellStyles count="2">
    <cellStyle name="Normal" xfId="0" builtinId="0"/>
    <cellStyle name="Normal 2" xfId="1" xr:uid="{4BE466E4-D027-459C-93B8-3F6D6D2E19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205B-AAA4-4F25-867E-4ABBC027D18D}">
  <dimension ref="A1:U17"/>
  <sheetViews>
    <sheetView topLeftCell="D1" workbookViewId="0">
      <selection activeCell="I19" sqref="I19:J22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325</v>
      </c>
      <c r="F2">
        <v>30</v>
      </c>
      <c r="G2">
        <v>582</v>
      </c>
      <c r="H2">
        <v>93.44</v>
      </c>
      <c r="I2">
        <v>50.981217999999998</v>
      </c>
      <c r="J2">
        <v>0</v>
      </c>
      <c r="K2">
        <v>6</v>
      </c>
      <c r="L2">
        <v>6</v>
      </c>
      <c r="M2">
        <v>3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465</v>
      </c>
      <c r="F3">
        <v>21</v>
      </c>
      <c r="G3">
        <v>719</v>
      </c>
      <c r="H3">
        <v>82.48</v>
      </c>
      <c r="I3">
        <v>1686.8292650000001</v>
      </c>
      <c r="J3">
        <v>5</v>
      </c>
      <c r="K3">
        <v>0</v>
      </c>
      <c r="L3">
        <v>6</v>
      </c>
      <c r="M3">
        <v>3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610</v>
      </c>
      <c r="F4">
        <v>16</v>
      </c>
      <c r="G4">
        <v>774</v>
      </c>
      <c r="H4">
        <v>78.08</v>
      </c>
      <c r="I4">
        <v>148.80121600000001</v>
      </c>
      <c r="J4">
        <v>0</v>
      </c>
      <c r="K4">
        <v>8</v>
      </c>
      <c r="L4">
        <v>4</v>
      </c>
      <c r="M4">
        <v>6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4</v>
      </c>
      <c r="D5">
        <v>200</v>
      </c>
      <c r="E5">
        <v>227.5</v>
      </c>
      <c r="F5">
        <v>40</v>
      </c>
      <c r="G5">
        <v>623</v>
      </c>
      <c r="H5">
        <v>90.16</v>
      </c>
      <c r="I5">
        <v>151.548102</v>
      </c>
      <c r="J5">
        <v>0</v>
      </c>
      <c r="K5">
        <v>4</v>
      </c>
      <c r="L5">
        <v>4</v>
      </c>
      <c r="M5">
        <v>1.5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4</v>
      </c>
      <c r="U5">
        <v>4</v>
      </c>
    </row>
    <row r="6" spans="1:21" x14ac:dyDescent="0.3">
      <c r="A6">
        <v>5</v>
      </c>
      <c r="B6">
        <v>1</v>
      </c>
      <c r="C6">
        <v>4</v>
      </c>
      <c r="D6">
        <v>300</v>
      </c>
      <c r="E6">
        <v>252.5</v>
      </c>
      <c r="F6">
        <v>39</v>
      </c>
      <c r="G6">
        <v>588</v>
      </c>
      <c r="H6">
        <v>92.96</v>
      </c>
      <c r="I6">
        <v>1071.5553</v>
      </c>
      <c r="J6">
        <v>0</v>
      </c>
      <c r="K6">
        <v>6</v>
      </c>
      <c r="L6">
        <v>2.25</v>
      </c>
      <c r="M6">
        <v>2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3</v>
      </c>
      <c r="U6">
        <v>6</v>
      </c>
    </row>
    <row r="7" spans="1:21" x14ac:dyDescent="0.3">
      <c r="A7">
        <v>6</v>
      </c>
      <c r="B7">
        <v>1</v>
      </c>
      <c r="C7">
        <v>4</v>
      </c>
      <c r="D7">
        <v>250</v>
      </c>
      <c r="E7">
        <v>260</v>
      </c>
      <c r="F7">
        <v>38</v>
      </c>
      <c r="G7">
        <v>582</v>
      </c>
      <c r="H7">
        <v>93.44</v>
      </c>
      <c r="I7">
        <v>279.28901100000002</v>
      </c>
      <c r="J7">
        <v>3</v>
      </c>
      <c r="K7">
        <v>0</v>
      </c>
      <c r="L7">
        <v>4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4</v>
      </c>
      <c r="U7">
        <v>5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6</v>
      </c>
      <c r="E10" s="11" cm="1">
        <f t="array" ref="E10">SUM(J10:U10*J$17:U$17)</f>
        <v>325</v>
      </c>
      <c r="F10" s="11">
        <f t="shared" ref="F10:F15" si="0">MIN(FLOOR(10000/E10,1),40)</f>
        <v>30</v>
      </c>
      <c r="J10" s="12">
        <f>J2</f>
        <v>0</v>
      </c>
      <c r="K10" s="13">
        <f t="shared" ref="K10:U10" si="1">K2</f>
        <v>6</v>
      </c>
      <c r="L10" s="13">
        <f t="shared" si="1"/>
        <v>6</v>
      </c>
      <c r="M10" s="13">
        <f t="shared" si="1"/>
        <v>3</v>
      </c>
      <c r="N10" s="13">
        <f t="shared" si="1"/>
        <v>0</v>
      </c>
      <c r="O10" s="13">
        <f t="shared" si="1"/>
        <v>1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13">
        <f t="shared" si="1"/>
        <v>0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24</v>
      </c>
      <c r="E11" s="11" cm="1">
        <f t="array" ref="E11">SUM(J11:U11*J$17:U$17)</f>
        <v>465</v>
      </c>
      <c r="F11" s="11">
        <f t="shared" si="0"/>
        <v>21</v>
      </c>
      <c r="J11" s="15">
        <f t="shared" ref="J11:U15" si="2">J3</f>
        <v>5</v>
      </c>
      <c r="K11">
        <f t="shared" si="2"/>
        <v>0</v>
      </c>
      <c r="L11">
        <f t="shared" si="2"/>
        <v>6</v>
      </c>
      <c r="M11">
        <f t="shared" si="2"/>
        <v>3</v>
      </c>
      <c r="N11">
        <f t="shared" si="2"/>
        <v>0</v>
      </c>
      <c r="O11">
        <f t="shared" si="2"/>
        <v>3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20">
        <v>20</v>
      </c>
      <c r="E12" s="10" cm="1">
        <f t="array" ref="E12">SUM(J12:U12*J$17:U$17)</f>
        <v>627.5</v>
      </c>
      <c r="F12" s="10">
        <f t="shared" si="0"/>
        <v>15</v>
      </c>
      <c r="J12" s="15">
        <f t="shared" si="2"/>
        <v>0</v>
      </c>
      <c r="K12" s="10">
        <f>8+3.5</f>
        <v>11.5</v>
      </c>
      <c r="L12">
        <f t="shared" si="2"/>
        <v>4</v>
      </c>
      <c r="M12">
        <f t="shared" si="2"/>
        <v>6</v>
      </c>
      <c r="N12">
        <f t="shared" si="2"/>
        <v>0</v>
      </c>
      <c r="O12">
        <f t="shared" si="2"/>
        <v>0</v>
      </c>
      <c r="P12">
        <f t="shared" si="2"/>
        <v>2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6</v>
      </c>
      <c r="E13" s="11" cm="1">
        <f t="array" ref="E13">SUM(J13:U13*J$17:U$17)</f>
        <v>227.5</v>
      </c>
      <c r="F13" s="11">
        <f t="shared" si="0"/>
        <v>40</v>
      </c>
      <c r="J13" s="15">
        <f t="shared" si="2"/>
        <v>0</v>
      </c>
      <c r="K13">
        <f t="shared" si="2"/>
        <v>4</v>
      </c>
      <c r="L13">
        <f t="shared" si="2"/>
        <v>4</v>
      </c>
      <c r="M13">
        <f t="shared" si="2"/>
        <v>1.5</v>
      </c>
      <c r="N13">
        <f t="shared" si="2"/>
        <v>0</v>
      </c>
      <c r="O13">
        <f t="shared" si="2"/>
        <v>1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4</v>
      </c>
      <c r="U13" s="16">
        <f t="shared" si="2"/>
        <v>4</v>
      </c>
    </row>
    <row r="14" spans="1:21" x14ac:dyDescent="0.3">
      <c r="A14">
        <v>5</v>
      </c>
      <c r="C14" s="20">
        <v>6</v>
      </c>
      <c r="E14" s="10" cm="1">
        <f t="array" ref="E14">SUM(J14:U14*J$17:U$17)</f>
        <v>255</v>
      </c>
      <c r="F14" s="11">
        <f t="shared" si="0"/>
        <v>39</v>
      </c>
      <c r="J14" s="15">
        <f t="shared" si="2"/>
        <v>0</v>
      </c>
      <c r="K14">
        <f t="shared" si="2"/>
        <v>6</v>
      </c>
      <c r="L14" s="10">
        <v>2.5</v>
      </c>
      <c r="M14">
        <f t="shared" si="2"/>
        <v>2</v>
      </c>
      <c r="N14">
        <f t="shared" si="2"/>
        <v>0</v>
      </c>
      <c r="O14">
        <f t="shared" si="2"/>
        <v>1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3</v>
      </c>
      <c r="U14" s="16">
        <f t="shared" si="2"/>
        <v>6</v>
      </c>
    </row>
    <row r="15" spans="1:21" ht="15" thickBot="1" x14ac:dyDescent="0.35">
      <c r="A15">
        <v>6</v>
      </c>
      <c r="C15" s="21">
        <v>6</v>
      </c>
      <c r="E15" s="11" cm="1">
        <f t="array" ref="E15">SUM(J15:U15*J$17:U$17)</f>
        <v>260</v>
      </c>
      <c r="F15" s="11">
        <f t="shared" si="0"/>
        <v>38</v>
      </c>
      <c r="J15" s="17">
        <f t="shared" si="2"/>
        <v>3</v>
      </c>
      <c r="K15" s="18">
        <f t="shared" si="2"/>
        <v>0</v>
      </c>
      <c r="L15" s="18">
        <f t="shared" si="2"/>
        <v>4</v>
      </c>
      <c r="M15" s="18">
        <f t="shared" si="2"/>
        <v>2</v>
      </c>
      <c r="N15" s="18">
        <f t="shared" si="2"/>
        <v>0</v>
      </c>
      <c r="O15" s="18">
        <f t="shared" si="2"/>
        <v>1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0</v>
      </c>
      <c r="T15" s="18">
        <f t="shared" si="2"/>
        <v>4</v>
      </c>
      <c r="U15" s="19">
        <f t="shared" si="2"/>
        <v>5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conditionalFormatting sqref="H2:H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A281-320D-41E5-8E3E-AC70ED52723E}">
  <dimension ref="A1:U17"/>
  <sheetViews>
    <sheetView workbookViewId="0">
      <selection activeCell="E21" sqref="E21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290</v>
      </c>
      <c r="F2">
        <v>34</v>
      </c>
      <c r="G2">
        <v>617</v>
      </c>
      <c r="H2">
        <v>90.64</v>
      </c>
      <c r="I2">
        <v>3028.8335120000002</v>
      </c>
      <c r="J2">
        <v>0</v>
      </c>
      <c r="K2">
        <v>9.5</v>
      </c>
      <c r="L2">
        <v>0</v>
      </c>
      <c r="M2">
        <v>0</v>
      </c>
      <c r="N2">
        <v>2.25</v>
      </c>
      <c r="O2">
        <v>1</v>
      </c>
      <c r="P2">
        <v>0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345</v>
      </c>
      <c r="F3">
        <v>28</v>
      </c>
      <c r="G3">
        <v>626</v>
      </c>
      <c r="H3">
        <v>89.92</v>
      </c>
      <c r="I3">
        <v>211.00373400000001</v>
      </c>
      <c r="J3">
        <v>0</v>
      </c>
      <c r="K3">
        <v>6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0.5</v>
      </c>
      <c r="S3">
        <v>0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596.25</v>
      </c>
      <c r="F4">
        <v>16</v>
      </c>
      <c r="G4">
        <v>774</v>
      </c>
      <c r="H4">
        <v>78.08</v>
      </c>
      <c r="I4">
        <v>1372.2519440000001</v>
      </c>
      <c r="J4">
        <v>0</v>
      </c>
      <c r="K4">
        <v>11</v>
      </c>
      <c r="L4">
        <v>0</v>
      </c>
      <c r="M4">
        <v>6</v>
      </c>
      <c r="N4">
        <v>0</v>
      </c>
      <c r="O4">
        <v>0</v>
      </c>
      <c r="P4">
        <v>2</v>
      </c>
      <c r="Q4">
        <v>0</v>
      </c>
      <c r="R4">
        <v>0</v>
      </c>
      <c r="S4">
        <v>2.25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6</v>
      </c>
      <c r="D5">
        <v>260</v>
      </c>
      <c r="E5">
        <v>257.5</v>
      </c>
      <c r="F5">
        <v>38</v>
      </c>
      <c r="G5">
        <v>554</v>
      </c>
      <c r="H5">
        <v>95.679999999999993</v>
      </c>
      <c r="I5">
        <v>758.058266</v>
      </c>
      <c r="J5">
        <v>0</v>
      </c>
      <c r="K5">
        <v>10.5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</v>
      </c>
      <c r="U5">
        <v>8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237.5</v>
      </c>
      <c r="F6">
        <v>40</v>
      </c>
      <c r="G6">
        <v>587</v>
      </c>
      <c r="H6">
        <v>93.04</v>
      </c>
      <c r="I6">
        <v>805.18893200000002</v>
      </c>
      <c r="J6">
        <v>0</v>
      </c>
      <c r="K6">
        <v>12</v>
      </c>
      <c r="L6">
        <v>0</v>
      </c>
      <c r="M6">
        <v>1.5</v>
      </c>
      <c r="N6">
        <v>0</v>
      </c>
      <c r="O6">
        <v>0</v>
      </c>
      <c r="P6">
        <v>0.5</v>
      </c>
      <c r="Q6">
        <v>0</v>
      </c>
      <c r="R6">
        <v>0</v>
      </c>
      <c r="S6">
        <v>0</v>
      </c>
      <c r="T6">
        <v>4</v>
      </c>
      <c r="U6">
        <v>5</v>
      </c>
    </row>
    <row r="7" spans="1:21" x14ac:dyDescent="0.3">
      <c r="A7">
        <v>6</v>
      </c>
      <c r="B7">
        <v>1</v>
      </c>
      <c r="C7">
        <v>4</v>
      </c>
      <c r="D7">
        <v>200</v>
      </c>
      <c r="E7">
        <v>220</v>
      </c>
      <c r="F7">
        <v>40</v>
      </c>
      <c r="G7">
        <v>623</v>
      </c>
      <c r="H7">
        <v>90.16</v>
      </c>
      <c r="I7">
        <v>896.103431</v>
      </c>
      <c r="J7">
        <v>0</v>
      </c>
      <c r="K7">
        <v>12</v>
      </c>
      <c r="L7">
        <v>0</v>
      </c>
      <c r="M7">
        <v>2</v>
      </c>
      <c r="N7">
        <v>0</v>
      </c>
      <c r="O7">
        <v>0</v>
      </c>
      <c r="P7">
        <v>0.5</v>
      </c>
      <c r="Q7">
        <v>0</v>
      </c>
      <c r="R7">
        <v>0</v>
      </c>
      <c r="S7">
        <v>0</v>
      </c>
      <c r="T7">
        <v>4</v>
      </c>
      <c r="U7">
        <v>4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6</v>
      </c>
      <c r="E10" s="10" cm="1">
        <f t="array" ref="E10">SUM(J10:U10*J$17:U$17)</f>
        <v>305</v>
      </c>
      <c r="F10" s="10">
        <f t="shared" ref="F10:F15" si="0">MIN(FLOOR(10000/E10,1),40)</f>
        <v>32</v>
      </c>
      <c r="J10" s="22">
        <v>1.5</v>
      </c>
      <c r="K10" s="13">
        <f t="shared" ref="K10:U10" si="1">K2</f>
        <v>9.5</v>
      </c>
      <c r="L10" s="13">
        <f t="shared" si="1"/>
        <v>0</v>
      </c>
      <c r="M10" s="13">
        <f t="shared" si="1"/>
        <v>0</v>
      </c>
      <c r="N10" s="13">
        <f t="shared" si="1"/>
        <v>2.25</v>
      </c>
      <c r="O10" s="13">
        <f t="shared" si="1"/>
        <v>1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13">
        <f t="shared" si="1"/>
        <v>0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9</v>
      </c>
      <c r="E11" s="10" cm="1">
        <f t="array" ref="E11">SUM(J11:U11*J$17:U$17)</f>
        <v>362.5</v>
      </c>
      <c r="F11" s="10">
        <f t="shared" si="0"/>
        <v>27</v>
      </c>
      <c r="J11" s="23">
        <v>1.5</v>
      </c>
      <c r="K11" s="10">
        <v>6.5</v>
      </c>
      <c r="L11">
        <f t="shared" ref="J11:U15" si="2">L3</f>
        <v>0</v>
      </c>
      <c r="M11">
        <f t="shared" si="2"/>
        <v>0</v>
      </c>
      <c r="N11">
        <f t="shared" si="2"/>
        <v>0</v>
      </c>
      <c r="O11">
        <f t="shared" si="2"/>
        <v>2</v>
      </c>
      <c r="P11">
        <f t="shared" si="2"/>
        <v>0</v>
      </c>
      <c r="Q11">
        <f t="shared" si="2"/>
        <v>0</v>
      </c>
      <c r="R11">
        <f t="shared" si="2"/>
        <v>0.5</v>
      </c>
      <c r="S11">
        <f t="shared" si="2"/>
        <v>0</v>
      </c>
      <c r="T11">
        <f t="shared" si="2"/>
        <v>3</v>
      </c>
      <c r="U11" s="16">
        <f t="shared" si="2"/>
        <v>9</v>
      </c>
    </row>
    <row r="12" spans="1:21" x14ac:dyDescent="0.3">
      <c r="A12">
        <v>3</v>
      </c>
      <c r="C12" s="20">
        <v>20</v>
      </c>
      <c r="E12" s="8" cm="1">
        <f t="array" ref="E12">SUM(J12:U12*J$17:U$17)</f>
        <v>591.25</v>
      </c>
      <c r="F12" s="8">
        <f t="shared" si="0"/>
        <v>16</v>
      </c>
      <c r="J12" s="15">
        <f t="shared" si="2"/>
        <v>0</v>
      </c>
      <c r="K12">
        <f t="shared" si="2"/>
        <v>11</v>
      </c>
      <c r="L12">
        <f t="shared" si="2"/>
        <v>0</v>
      </c>
      <c r="M12" s="8">
        <v>5</v>
      </c>
      <c r="N12">
        <f t="shared" si="2"/>
        <v>0</v>
      </c>
      <c r="O12">
        <f t="shared" si="2"/>
        <v>0</v>
      </c>
      <c r="P12">
        <f t="shared" si="2"/>
        <v>2</v>
      </c>
      <c r="Q12">
        <f t="shared" si="2"/>
        <v>0</v>
      </c>
      <c r="R12">
        <f t="shared" si="2"/>
        <v>0</v>
      </c>
      <c r="S12">
        <f t="shared" si="2"/>
        <v>2.25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6</v>
      </c>
      <c r="E13" s="10" cm="1">
        <f t="array" ref="E13">SUM(J13:U13*J$17:U$17)</f>
        <v>265</v>
      </c>
      <c r="F13" s="10">
        <f t="shared" si="0"/>
        <v>37</v>
      </c>
      <c r="J13" s="15">
        <f t="shared" si="2"/>
        <v>0</v>
      </c>
      <c r="K13" s="10">
        <v>11</v>
      </c>
      <c r="L13">
        <f t="shared" si="2"/>
        <v>0</v>
      </c>
      <c r="M13" s="10">
        <v>2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4</v>
      </c>
      <c r="U13" s="16">
        <f t="shared" si="2"/>
        <v>8</v>
      </c>
    </row>
    <row r="14" spans="1:21" x14ac:dyDescent="0.3">
      <c r="A14">
        <v>5</v>
      </c>
      <c r="C14" s="20">
        <v>5</v>
      </c>
      <c r="E14" s="8" cm="1">
        <f t="array" ref="E14">SUM(J14:U14*J$17:U$17)</f>
        <v>235</v>
      </c>
      <c r="F14" s="8">
        <f t="shared" si="0"/>
        <v>40</v>
      </c>
      <c r="J14" s="15">
        <f t="shared" si="2"/>
        <v>0</v>
      </c>
      <c r="K14" s="8">
        <v>11.5</v>
      </c>
      <c r="L14">
        <f t="shared" si="2"/>
        <v>0</v>
      </c>
      <c r="M14">
        <f t="shared" si="2"/>
        <v>1.5</v>
      </c>
      <c r="N14">
        <f t="shared" si="2"/>
        <v>0</v>
      </c>
      <c r="O14">
        <f t="shared" si="2"/>
        <v>0</v>
      </c>
      <c r="P14">
        <f t="shared" si="2"/>
        <v>0.5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4</v>
      </c>
      <c r="U14" s="16">
        <f t="shared" si="2"/>
        <v>5</v>
      </c>
    </row>
    <row r="15" spans="1:21" ht="15" thickBot="1" x14ac:dyDescent="0.35">
      <c r="A15">
        <v>6</v>
      </c>
      <c r="C15" s="21">
        <v>5</v>
      </c>
      <c r="E15" s="8" cm="1">
        <f t="array" ref="E15">SUM(J15:U15*J$17:U$17)</f>
        <v>217.5</v>
      </c>
      <c r="F15" s="8">
        <f t="shared" si="0"/>
        <v>40</v>
      </c>
      <c r="J15" s="17">
        <f t="shared" si="2"/>
        <v>0</v>
      </c>
      <c r="K15" s="24">
        <v>11.5</v>
      </c>
      <c r="L15" s="18">
        <f t="shared" si="2"/>
        <v>0</v>
      </c>
      <c r="M15" s="18">
        <f t="shared" si="2"/>
        <v>2</v>
      </c>
      <c r="N15" s="18">
        <f t="shared" si="2"/>
        <v>0</v>
      </c>
      <c r="O15" s="18">
        <f t="shared" si="2"/>
        <v>0</v>
      </c>
      <c r="P15" s="18">
        <f t="shared" si="2"/>
        <v>0.5</v>
      </c>
      <c r="Q15" s="18">
        <f t="shared" si="2"/>
        <v>0</v>
      </c>
      <c r="R15" s="18">
        <f t="shared" si="2"/>
        <v>0</v>
      </c>
      <c r="S15" s="18">
        <f t="shared" si="2"/>
        <v>0</v>
      </c>
      <c r="T15" s="18">
        <f t="shared" si="2"/>
        <v>4</v>
      </c>
      <c r="U15" s="19">
        <f t="shared" si="2"/>
        <v>4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B4E7-9B13-484F-83EC-9FF1919920CD}">
  <dimension ref="A1:U15"/>
  <sheetViews>
    <sheetView topLeftCell="D1" workbookViewId="0">
      <selection activeCell="J16" sqref="J16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510</v>
      </c>
      <c r="F2">
        <v>19</v>
      </c>
      <c r="G2">
        <v>706</v>
      </c>
      <c r="H2">
        <v>83.52</v>
      </c>
      <c r="I2">
        <v>2121.9011460000002</v>
      </c>
      <c r="J2">
        <v>24</v>
      </c>
      <c r="K2">
        <v>0</v>
      </c>
      <c r="L2">
        <v>6</v>
      </c>
      <c r="M2">
        <v>0</v>
      </c>
      <c r="N2">
        <v>0</v>
      </c>
      <c r="O2">
        <v>0</v>
      </c>
      <c r="P2">
        <v>0.5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320</v>
      </c>
      <c r="F3">
        <v>31</v>
      </c>
      <c r="G3">
        <v>547</v>
      </c>
      <c r="H3">
        <v>96.240000000000009</v>
      </c>
      <c r="I3">
        <v>1468.3559299999999</v>
      </c>
      <c r="J3">
        <v>0</v>
      </c>
      <c r="K3">
        <v>12</v>
      </c>
      <c r="L3">
        <v>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510</v>
      </c>
      <c r="F4">
        <v>19</v>
      </c>
      <c r="G4">
        <v>597</v>
      </c>
      <c r="H4">
        <v>92.24</v>
      </c>
      <c r="I4">
        <v>1161.8574040000001</v>
      </c>
      <c r="J4">
        <v>0</v>
      </c>
      <c r="K4">
        <v>0</v>
      </c>
      <c r="L4">
        <v>4</v>
      </c>
      <c r="M4">
        <v>0</v>
      </c>
      <c r="N4">
        <v>0</v>
      </c>
      <c r="O4">
        <v>0</v>
      </c>
      <c r="P4">
        <v>1.5</v>
      </c>
      <c r="Q4">
        <v>0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10</v>
      </c>
      <c r="D5">
        <v>200</v>
      </c>
      <c r="E5">
        <v>410</v>
      </c>
      <c r="F5">
        <v>24</v>
      </c>
      <c r="G5">
        <v>715</v>
      </c>
      <c r="H5">
        <v>82.800000000000011</v>
      </c>
      <c r="I5">
        <v>965.37857599999995</v>
      </c>
      <c r="J5">
        <v>5</v>
      </c>
      <c r="K5">
        <v>0</v>
      </c>
      <c r="L5">
        <v>3</v>
      </c>
      <c r="M5">
        <v>0</v>
      </c>
      <c r="N5">
        <v>0</v>
      </c>
      <c r="O5">
        <v>0</v>
      </c>
      <c r="P5">
        <v>1.5</v>
      </c>
      <c r="Q5">
        <v>0</v>
      </c>
      <c r="R5">
        <v>0</v>
      </c>
      <c r="S5">
        <v>0</v>
      </c>
      <c r="T5">
        <v>4</v>
      </c>
      <c r="U5">
        <v>10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267.5</v>
      </c>
      <c r="F6">
        <v>37</v>
      </c>
      <c r="G6">
        <v>576</v>
      </c>
      <c r="H6">
        <v>93.92</v>
      </c>
      <c r="I6">
        <v>1014.898629</v>
      </c>
      <c r="J6">
        <v>1.5</v>
      </c>
      <c r="K6">
        <v>17.5</v>
      </c>
      <c r="L6">
        <v>2.5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5</v>
      </c>
    </row>
    <row r="7" spans="1:21" ht="15" thickBot="1" x14ac:dyDescent="0.35"/>
    <row r="8" spans="1:21" x14ac:dyDescent="0.3">
      <c r="A8" t="s">
        <v>0</v>
      </c>
      <c r="B8" t="s">
        <v>1</v>
      </c>
      <c r="C8" s="1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4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6" t="s">
        <v>20</v>
      </c>
    </row>
    <row r="9" spans="1:21" x14ac:dyDescent="0.3">
      <c r="A9">
        <v>1</v>
      </c>
      <c r="C9" s="20">
        <v>5</v>
      </c>
      <c r="E9" s="10" cm="1">
        <f t="array" ref="E9">SUM(J9:U9*J$15:U$15)</f>
        <v>570</v>
      </c>
      <c r="F9" s="10">
        <f>MIN(FLOOR(10000/E9,1),40)</f>
        <v>17</v>
      </c>
      <c r="J9" s="25">
        <f>12+18</f>
        <v>30</v>
      </c>
      <c r="K9" s="13">
        <f t="shared" ref="K9:U9" si="0">K2</f>
        <v>0</v>
      </c>
      <c r="L9" s="13">
        <f t="shared" si="0"/>
        <v>6</v>
      </c>
      <c r="M9" s="13">
        <f t="shared" si="0"/>
        <v>0</v>
      </c>
      <c r="N9" s="13">
        <f t="shared" si="0"/>
        <v>0</v>
      </c>
      <c r="O9" s="13">
        <f t="shared" si="0"/>
        <v>0</v>
      </c>
      <c r="P9" s="13">
        <f t="shared" si="0"/>
        <v>0.5</v>
      </c>
      <c r="Q9" s="13">
        <f t="shared" si="0"/>
        <v>0</v>
      </c>
      <c r="R9" s="13">
        <f t="shared" si="0"/>
        <v>0</v>
      </c>
      <c r="S9" s="13">
        <f t="shared" si="0"/>
        <v>0</v>
      </c>
      <c r="T9" s="13">
        <f t="shared" si="0"/>
        <v>4</v>
      </c>
      <c r="U9" s="13">
        <f t="shared" si="0"/>
        <v>7</v>
      </c>
    </row>
    <row r="10" spans="1:21" x14ac:dyDescent="0.3">
      <c r="A10">
        <v>2</v>
      </c>
      <c r="C10" s="2">
        <v>8</v>
      </c>
      <c r="E10" s="10" cm="1">
        <f t="array" ref="E10">SUM(J10:U10*J$15:U$15)</f>
        <v>350</v>
      </c>
      <c r="F10" s="10">
        <f>MIN(FLOOR(10000/E10,1),40)</f>
        <v>28</v>
      </c>
      <c r="J10">
        <f>J3</f>
        <v>0</v>
      </c>
      <c r="K10" s="8">
        <v>10.5</v>
      </c>
      <c r="L10">
        <f t="shared" ref="L10:U10" si="1">L3</f>
        <v>4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 s="10">
        <v>0.75</v>
      </c>
      <c r="S10">
        <f t="shared" si="1"/>
        <v>0</v>
      </c>
      <c r="T10">
        <f t="shared" si="1"/>
        <v>4</v>
      </c>
      <c r="U10">
        <f t="shared" si="1"/>
        <v>9</v>
      </c>
    </row>
    <row r="11" spans="1:21" x14ac:dyDescent="0.3">
      <c r="A11">
        <v>3</v>
      </c>
      <c r="C11" s="20">
        <v>15</v>
      </c>
      <c r="E11" s="10" cm="1">
        <f t="array" ref="E11">SUM(J11:U11*J$15:U$15)</f>
        <v>685</v>
      </c>
      <c r="F11" s="10">
        <f>MIN(FLOOR(10000/E11,1),40)</f>
        <v>14</v>
      </c>
      <c r="J11" s="10">
        <v>17.5</v>
      </c>
      <c r="K11">
        <f t="shared" ref="J11:T13" si="2">K4</f>
        <v>0</v>
      </c>
      <c r="L11">
        <f t="shared" si="2"/>
        <v>4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1.5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4</v>
      </c>
      <c r="U11" s="16">
        <v>17</v>
      </c>
    </row>
    <row r="12" spans="1:21" x14ac:dyDescent="0.3">
      <c r="A12">
        <v>4</v>
      </c>
      <c r="C12" s="20">
        <v>10</v>
      </c>
      <c r="E12" s="10" cm="1">
        <f t="array" ref="E12">SUM(J12:U12*J$15:U$15)</f>
        <v>397.5</v>
      </c>
      <c r="F12" s="10">
        <f>MIN(FLOOR(10000/E12,1),40)</f>
        <v>25</v>
      </c>
      <c r="J12">
        <f t="shared" si="2"/>
        <v>5</v>
      </c>
      <c r="K12">
        <f t="shared" si="2"/>
        <v>0</v>
      </c>
      <c r="L12" s="10">
        <v>3.25</v>
      </c>
      <c r="M12">
        <f t="shared" si="2"/>
        <v>0</v>
      </c>
      <c r="N12">
        <f t="shared" si="2"/>
        <v>0</v>
      </c>
      <c r="O12">
        <f t="shared" si="2"/>
        <v>0</v>
      </c>
      <c r="P12" s="8">
        <v>1.25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4</v>
      </c>
      <c r="U12" s="16">
        <v>10</v>
      </c>
    </row>
    <row r="13" spans="1:21" ht="15" thickBot="1" x14ac:dyDescent="0.35">
      <c r="A13">
        <v>5</v>
      </c>
      <c r="C13" s="3">
        <v>4</v>
      </c>
      <c r="E13" s="10" cm="1">
        <f t="array" ref="E13">SUM(J13:U13*J$15:U$15)</f>
        <v>210</v>
      </c>
      <c r="F13" s="10">
        <f>MIN(FLOOR(10000/E13,1),40)</f>
        <v>40</v>
      </c>
      <c r="J13">
        <f t="shared" si="2"/>
        <v>1.5</v>
      </c>
      <c r="K13" s="8">
        <v>7</v>
      </c>
      <c r="L13" s="8">
        <v>2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4</v>
      </c>
      <c r="U13" s="16">
        <v>5</v>
      </c>
    </row>
    <row r="15" spans="1:21" x14ac:dyDescent="0.3">
      <c r="J15">
        <v>10</v>
      </c>
      <c r="K15">
        <v>5</v>
      </c>
      <c r="L15">
        <v>10</v>
      </c>
      <c r="M15">
        <v>5</v>
      </c>
      <c r="N15">
        <v>10</v>
      </c>
      <c r="O15">
        <v>40</v>
      </c>
      <c r="P15">
        <v>60</v>
      </c>
      <c r="Q15">
        <v>20</v>
      </c>
      <c r="R15">
        <v>50</v>
      </c>
      <c r="S15">
        <v>5</v>
      </c>
      <c r="T15">
        <v>10</v>
      </c>
      <c r="U15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9549-80AB-4767-A8A6-568C6805F008}">
  <dimension ref="A1:U17"/>
  <sheetViews>
    <sheetView workbookViewId="0">
      <selection activeCell="I23" sqref="I23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490</v>
      </c>
      <c r="F2">
        <v>20</v>
      </c>
      <c r="G2">
        <v>702</v>
      </c>
      <c r="H2">
        <v>83.84</v>
      </c>
      <c r="I2">
        <v>3594.1803610000002</v>
      </c>
      <c r="J2">
        <v>6</v>
      </c>
      <c r="K2">
        <v>0</v>
      </c>
      <c r="L2">
        <v>8</v>
      </c>
      <c r="M2">
        <v>0</v>
      </c>
      <c r="N2">
        <v>0</v>
      </c>
      <c r="O2">
        <v>0</v>
      </c>
      <c r="P2">
        <v>2</v>
      </c>
      <c r="Q2">
        <v>0</v>
      </c>
      <c r="R2">
        <v>1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520</v>
      </c>
      <c r="F3">
        <v>19</v>
      </c>
      <c r="G3">
        <v>739</v>
      </c>
      <c r="H3">
        <v>80.88</v>
      </c>
      <c r="I3">
        <v>1111.892102</v>
      </c>
      <c r="J3">
        <v>14</v>
      </c>
      <c r="K3">
        <v>0</v>
      </c>
      <c r="L3">
        <v>8</v>
      </c>
      <c r="M3">
        <v>0</v>
      </c>
      <c r="N3">
        <v>2</v>
      </c>
      <c r="O3">
        <v>0</v>
      </c>
      <c r="P3">
        <v>1</v>
      </c>
      <c r="Q3">
        <v>0</v>
      </c>
      <c r="R3">
        <v>0</v>
      </c>
      <c r="S3">
        <v>0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760</v>
      </c>
      <c r="F4">
        <v>13</v>
      </c>
      <c r="G4">
        <v>927</v>
      </c>
      <c r="H4">
        <v>65.84</v>
      </c>
      <c r="I4">
        <v>1100.583386</v>
      </c>
      <c r="J4">
        <v>16</v>
      </c>
      <c r="K4">
        <v>0</v>
      </c>
      <c r="L4">
        <v>5</v>
      </c>
      <c r="M4">
        <v>0</v>
      </c>
      <c r="N4">
        <v>0</v>
      </c>
      <c r="O4">
        <v>0</v>
      </c>
      <c r="P4">
        <v>2</v>
      </c>
      <c r="Q4">
        <v>0</v>
      </c>
      <c r="R4">
        <v>1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5</v>
      </c>
      <c r="D5">
        <v>280</v>
      </c>
      <c r="E5">
        <v>350</v>
      </c>
      <c r="F5">
        <v>28</v>
      </c>
      <c r="G5">
        <v>561</v>
      </c>
      <c r="H5">
        <v>95.12</v>
      </c>
      <c r="I5">
        <v>848.78847299999995</v>
      </c>
      <c r="J5">
        <v>5</v>
      </c>
      <c r="K5">
        <v>0</v>
      </c>
      <c r="L5">
        <v>5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2</v>
      </c>
      <c r="T5">
        <v>4</v>
      </c>
      <c r="U5">
        <v>7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310</v>
      </c>
      <c r="F6">
        <v>32</v>
      </c>
      <c r="G6">
        <v>557</v>
      </c>
      <c r="H6">
        <v>95.44</v>
      </c>
      <c r="I6">
        <v>1013.313595</v>
      </c>
      <c r="J6">
        <v>8</v>
      </c>
      <c r="K6">
        <v>0</v>
      </c>
      <c r="L6">
        <v>5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4</v>
      </c>
      <c r="U6">
        <v>5</v>
      </c>
    </row>
    <row r="7" spans="1:21" x14ac:dyDescent="0.3">
      <c r="A7">
        <v>6</v>
      </c>
      <c r="B7">
        <v>1</v>
      </c>
      <c r="C7">
        <v>4</v>
      </c>
      <c r="D7">
        <v>300</v>
      </c>
      <c r="E7">
        <v>380</v>
      </c>
      <c r="F7">
        <v>26</v>
      </c>
      <c r="G7">
        <v>663</v>
      </c>
      <c r="H7">
        <v>86.960000000000008</v>
      </c>
      <c r="I7">
        <v>778.33065499999998</v>
      </c>
      <c r="J7">
        <v>7</v>
      </c>
      <c r="K7">
        <v>7</v>
      </c>
      <c r="L7">
        <v>6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3</v>
      </c>
      <c r="T7">
        <v>4</v>
      </c>
      <c r="U7">
        <v>6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20</v>
      </c>
      <c r="E10" s="11" cm="1">
        <f t="array" ref="E10">SUM(J10:U10*J$17:U$17)</f>
        <v>490</v>
      </c>
      <c r="F10" s="11">
        <f t="shared" ref="F10:F15" si="0">MIN(FLOOR(10000/E10,1),40)</f>
        <v>20</v>
      </c>
      <c r="J10" s="12">
        <f>J2</f>
        <v>6</v>
      </c>
      <c r="K10" s="13">
        <f t="shared" ref="K10:U10" si="1">K2</f>
        <v>0</v>
      </c>
      <c r="L10" s="13">
        <f t="shared" si="1"/>
        <v>8</v>
      </c>
      <c r="M10" s="13">
        <f t="shared" si="1"/>
        <v>0</v>
      </c>
      <c r="N10" s="13">
        <f t="shared" si="1"/>
        <v>0</v>
      </c>
      <c r="O10" s="13">
        <f t="shared" si="1"/>
        <v>0</v>
      </c>
      <c r="P10" s="13">
        <f t="shared" si="1"/>
        <v>2</v>
      </c>
      <c r="Q10" s="13">
        <f t="shared" si="1"/>
        <v>0</v>
      </c>
      <c r="R10" s="13">
        <f t="shared" si="1"/>
        <v>1</v>
      </c>
      <c r="S10" s="13">
        <f t="shared" si="1"/>
        <v>0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10</v>
      </c>
      <c r="E11" s="10" cm="1">
        <f t="array" ref="E11">SUM(J11:U11*J$17:U$17)</f>
        <v>537.5</v>
      </c>
      <c r="F11" s="10">
        <f t="shared" si="0"/>
        <v>18</v>
      </c>
      <c r="J11" s="27">
        <v>13.75</v>
      </c>
      <c r="K11">
        <f t="shared" ref="J11:U15" si="2">K3</f>
        <v>0</v>
      </c>
      <c r="L11">
        <f t="shared" si="2"/>
        <v>8</v>
      </c>
      <c r="M11">
        <f t="shared" si="2"/>
        <v>0</v>
      </c>
      <c r="N11" s="10">
        <v>4</v>
      </c>
      <c r="O11">
        <f t="shared" si="2"/>
        <v>0</v>
      </c>
      <c r="P11">
        <f t="shared" si="2"/>
        <v>1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20">
        <v>20</v>
      </c>
      <c r="E12" s="10" cm="1">
        <f t="array" ref="E12">SUM(J12:U12*J$17:U$17)</f>
        <v>790</v>
      </c>
      <c r="F12" s="10">
        <f t="shared" si="0"/>
        <v>12</v>
      </c>
      <c r="J12" s="23">
        <v>18</v>
      </c>
      <c r="K12">
        <f t="shared" si="2"/>
        <v>0</v>
      </c>
      <c r="L12" s="10">
        <v>6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2</v>
      </c>
      <c r="Q12">
        <f t="shared" si="2"/>
        <v>0</v>
      </c>
      <c r="R12">
        <f t="shared" si="2"/>
        <v>1</v>
      </c>
      <c r="S12">
        <f t="shared" si="2"/>
        <v>0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10</v>
      </c>
      <c r="E13" s="10" cm="1">
        <f t="array" ref="E13">SUM(J13:U13*J$17:U$17)</f>
        <v>360</v>
      </c>
      <c r="F13" s="10">
        <f t="shared" si="0"/>
        <v>27</v>
      </c>
      <c r="J13" s="15">
        <f t="shared" si="2"/>
        <v>5</v>
      </c>
      <c r="K13">
        <f t="shared" si="2"/>
        <v>0</v>
      </c>
      <c r="L13">
        <f t="shared" si="2"/>
        <v>5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1</v>
      </c>
      <c r="Q13">
        <f t="shared" si="2"/>
        <v>0</v>
      </c>
      <c r="R13">
        <f t="shared" si="2"/>
        <v>0</v>
      </c>
      <c r="S13" s="10">
        <v>4</v>
      </c>
      <c r="T13">
        <f t="shared" si="2"/>
        <v>4</v>
      </c>
      <c r="U13" s="16">
        <f t="shared" si="2"/>
        <v>7</v>
      </c>
    </row>
    <row r="14" spans="1:21" x14ac:dyDescent="0.3">
      <c r="A14">
        <v>5</v>
      </c>
      <c r="C14" s="20">
        <v>6</v>
      </c>
      <c r="E14" s="11" cm="1">
        <f t="array" ref="E14">SUM(J14:U14*J$17:U$17)</f>
        <v>310</v>
      </c>
      <c r="F14" s="11">
        <f t="shared" si="0"/>
        <v>32</v>
      </c>
      <c r="J14" s="15">
        <f t="shared" si="2"/>
        <v>8</v>
      </c>
      <c r="K14">
        <f t="shared" si="2"/>
        <v>0</v>
      </c>
      <c r="L14">
        <f t="shared" si="2"/>
        <v>5</v>
      </c>
      <c r="M14">
        <f t="shared" si="2"/>
        <v>0</v>
      </c>
      <c r="N14">
        <f t="shared" si="2"/>
        <v>0</v>
      </c>
      <c r="O14">
        <f t="shared" si="2"/>
        <v>1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4</v>
      </c>
      <c r="U14" s="16">
        <f t="shared" si="2"/>
        <v>5</v>
      </c>
    </row>
    <row r="15" spans="1:21" ht="15" thickBot="1" x14ac:dyDescent="0.35">
      <c r="A15">
        <v>6</v>
      </c>
      <c r="C15" s="21">
        <v>9</v>
      </c>
      <c r="E15" s="8" cm="1">
        <f t="array" ref="E15">SUM(J15:U15*J$17:U$17)</f>
        <v>383.75</v>
      </c>
      <c r="F15" s="11">
        <f t="shared" si="0"/>
        <v>26</v>
      </c>
      <c r="J15" s="28">
        <v>6.75</v>
      </c>
      <c r="K15" s="24">
        <v>6.25</v>
      </c>
      <c r="L15" s="18">
        <f t="shared" si="2"/>
        <v>6</v>
      </c>
      <c r="M15" s="18">
        <f t="shared" si="2"/>
        <v>0</v>
      </c>
      <c r="N15" s="18">
        <f t="shared" si="2"/>
        <v>0</v>
      </c>
      <c r="O15" s="26">
        <v>1.25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3</v>
      </c>
      <c r="T15" s="18">
        <f t="shared" si="2"/>
        <v>4</v>
      </c>
      <c r="U15" s="19">
        <f t="shared" si="2"/>
        <v>6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E955-8B63-4B66-96F6-06CE762526D5}">
  <dimension ref="A1:U15"/>
  <sheetViews>
    <sheetView workbookViewId="0">
      <selection activeCell="F24" sqref="F24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390</v>
      </c>
      <c r="F2">
        <v>25</v>
      </c>
      <c r="G2">
        <v>625</v>
      </c>
      <c r="H2">
        <v>90</v>
      </c>
      <c r="I2">
        <v>1981.5242699999999</v>
      </c>
      <c r="J2">
        <v>0</v>
      </c>
      <c r="K2">
        <v>2</v>
      </c>
      <c r="L2">
        <v>4</v>
      </c>
      <c r="M2">
        <v>0</v>
      </c>
      <c r="N2">
        <v>16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435</v>
      </c>
      <c r="F3">
        <v>22</v>
      </c>
      <c r="G3">
        <v>676</v>
      </c>
      <c r="H3">
        <v>85.92</v>
      </c>
      <c r="I3">
        <v>1852.993097</v>
      </c>
      <c r="J3">
        <v>8</v>
      </c>
      <c r="K3">
        <v>11</v>
      </c>
      <c r="L3">
        <v>2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9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485</v>
      </c>
      <c r="F4">
        <v>20</v>
      </c>
      <c r="G4">
        <v>585</v>
      </c>
      <c r="H4">
        <v>93.199999999999989</v>
      </c>
      <c r="I4">
        <v>2586.69002</v>
      </c>
      <c r="J4">
        <v>0</v>
      </c>
      <c r="K4">
        <v>9</v>
      </c>
      <c r="L4">
        <v>0</v>
      </c>
      <c r="M4">
        <v>5</v>
      </c>
      <c r="N4">
        <v>0</v>
      </c>
      <c r="O4">
        <v>0</v>
      </c>
      <c r="P4">
        <v>0</v>
      </c>
      <c r="Q4">
        <v>0</v>
      </c>
      <c r="R4">
        <v>0</v>
      </c>
      <c r="S4">
        <v>9</v>
      </c>
      <c r="T4">
        <v>3</v>
      </c>
      <c r="U4">
        <v>17</v>
      </c>
    </row>
    <row r="5" spans="1:21" x14ac:dyDescent="0.3">
      <c r="A5">
        <v>4</v>
      </c>
      <c r="B5">
        <v>1</v>
      </c>
      <c r="C5">
        <v>14</v>
      </c>
      <c r="D5">
        <v>200</v>
      </c>
      <c r="E5">
        <v>555</v>
      </c>
      <c r="F5">
        <v>18</v>
      </c>
      <c r="G5">
        <v>784</v>
      </c>
      <c r="H5">
        <v>77.279999999999987</v>
      </c>
      <c r="I5">
        <v>1091.564196</v>
      </c>
      <c r="J5">
        <v>0</v>
      </c>
      <c r="K5">
        <v>6</v>
      </c>
      <c r="L5">
        <v>0</v>
      </c>
      <c r="M5">
        <v>5</v>
      </c>
      <c r="N5">
        <v>0</v>
      </c>
      <c r="O5">
        <v>0</v>
      </c>
      <c r="P5">
        <v>3</v>
      </c>
      <c r="Q5">
        <v>0</v>
      </c>
      <c r="R5">
        <v>0</v>
      </c>
      <c r="S5">
        <v>0</v>
      </c>
      <c r="T5">
        <v>4</v>
      </c>
      <c r="U5">
        <v>14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220</v>
      </c>
      <c r="F6">
        <v>40</v>
      </c>
      <c r="G6">
        <v>587</v>
      </c>
      <c r="H6">
        <v>93.04</v>
      </c>
      <c r="I6">
        <v>93.603882999999996</v>
      </c>
      <c r="J6">
        <v>0</v>
      </c>
      <c r="K6">
        <v>2</v>
      </c>
      <c r="L6">
        <v>2</v>
      </c>
      <c r="M6">
        <v>2</v>
      </c>
      <c r="N6">
        <v>4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5</v>
      </c>
    </row>
    <row r="7" spans="1:21" ht="15" thickBot="1" x14ac:dyDescent="0.35"/>
    <row r="8" spans="1:21" x14ac:dyDescent="0.3">
      <c r="A8" t="s">
        <v>0</v>
      </c>
      <c r="B8" t="s">
        <v>1</v>
      </c>
      <c r="C8" s="1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4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6" t="s">
        <v>20</v>
      </c>
    </row>
    <row r="9" spans="1:21" x14ac:dyDescent="0.3">
      <c r="A9">
        <v>1</v>
      </c>
      <c r="C9" s="20">
        <v>18</v>
      </c>
      <c r="E9" s="10" cm="1">
        <f t="array" ref="E9">SUM(J9:U9*J$15:U$15)</f>
        <v>410</v>
      </c>
      <c r="F9" s="10">
        <f>MIN(FLOOR(10000/E9,1),40)</f>
        <v>24</v>
      </c>
      <c r="J9" s="22">
        <v>4</v>
      </c>
      <c r="K9" s="13">
        <f t="shared" ref="K9:U9" si="0">K2</f>
        <v>2</v>
      </c>
      <c r="L9" s="25">
        <v>5</v>
      </c>
      <c r="M9" s="13">
        <f t="shared" si="0"/>
        <v>0</v>
      </c>
      <c r="N9" s="29">
        <v>13</v>
      </c>
      <c r="O9" s="13">
        <f t="shared" si="0"/>
        <v>0</v>
      </c>
      <c r="P9" s="13">
        <f t="shared" si="0"/>
        <v>0</v>
      </c>
      <c r="Q9" s="13">
        <f t="shared" si="0"/>
        <v>0</v>
      </c>
      <c r="R9" s="13">
        <f t="shared" si="0"/>
        <v>0</v>
      </c>
      <c r="S9" s="13">
        <f t="shared" si="0"/>
        <v>0</v>
      </c>
      <c r="T9" s="13">
        <f t="shared" si="0"/>
        <v>4</v>
      </c>
      <c r="U9" s="14">
        <f t="shared" si="0"/>
        <v>7</v>
      </c>
    </row>
    <row r="10" spans="1:21" x14ac:dyDescent="0.3">
      <c r="A10">
        <v>2</v>
      </c>
      <c r="C10" s="9">
        <v>8</v>
      </c>
      <c r="E10" s="8" cm="1">
        <f t="array" ref="E10">SUM(J10:U10*J$15:U$15)</f>
        <v>432.5</v>
      </c>
      <c r="F10" s="8">
        <f>MIN(FLOOR(10000/E10,1),40)</f>
        <v>23</v>
      </c>
      <c r="J10" s="15">
        <f t="shared" ref="J10:U13" si="1">J3</f>
        <v>8</v>
      </c>
      <c r="K10" s="8">
        <v>10.5</v>
      </c>
      <c r="L10">
        <f t="shared" si="1"/>
        <v>2</v>
      </c>
      <c r="M10">
        <f t="shared" si="1"/>
        <v>3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1"/>
        <v>9</v>
      </c>
      <c r="T10">
        <f t="shared" si="1"/>
        <v>4</v>
      </c>
      <c r="U10" s="16">
        <f t="shared" si="1"/>
        <v>9</v>
      </c>
    </row>
    <row r="11" spans="1:21" x14ac:dyDescent="0.3">
      <c r="A11">
        <v>3</v>
      </c>
      <c r="C11" s="9">
        <v>12</v>
      </c>
      <c r="E11" s="10" cm="1">
        <f t="array" ref="E11">SUM(J11:U11*J$15:U$15)</f>
        <v>512.5</v>
      </c>
      <c r="F11" s="10">
        <f>MIN(FLOOR(10000/E11,1),40)</f>
        <v>19</v>
      </c>
      <c r="J11" s="15">
        <f t="shared" si="1"/>
        <v>0</v>
      </c>
      <c r="K11" s="10">
        <v>13.5</v>
      </c>
      <c r="L11">
        <f t="shared" si="1"/>
        <v>0</v>
      </c>
      <c r="M11" s="10">
        <v>6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1"/>
        <v>9</v>
      </c>
      <c r="T11">
        <f t="shared" si="1"/>
        <v>3</v>
      </c>
      <c r="U11" s="16">
        <f t="shared" si="1"/>
        <v>17</v>
      </c>
    </row>
    <row r="12" spans="1:21" x14ac:dyDescent="0.3">
      <c r="A12">
        <v>4</v>
      </c>
      <c r="C12" s="20">
        <v>18</v>
      </c>
      <c r="E12" s="8" cm="1">
        <f t="array" ref="E12">SUM(J12:U12*J$15:U$15)</f>
        <v>515</v>
      </c>
      <c r="F12" s="8">
        <f>MIN(FLOOR(10000/E12,1),40)</f>
        <v>19</v>
      </c>
      <c r="J12" s="15">
        <f t="shared" si="1"/>
        <v>0</v>
      </c>
      <c r="K12" s="10">
        <v>7</v>
      </c>
      <c r="L12" s="10">
        <v>1</v>
      </c>
      <c r="M12" s="10">
        <v>6</v>
      </c>
      <c r="N12">
        <f t="shared" si="1"/>
        <v>0</v>
      </c>
      <c r="O12" s="10">
        <v>3</v>
      </c>
      <c r="P12" s="8"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4</v>
      </c>
      <c r="U12" s="16">
        <f t="shared" si="1"/>
        <v>14</v>
      </c>
    </row>
    <row r="13" spans="1:21" x14ac:dyDescent="0.3">
      <c r="A13">
        <v>5</v>
      </c>
      <c r="C13" s="9">
        <v>4</v>
      </c>
      <c r="E13" s="8" cm="1">
        <f t="array" ref="E13">SUM(J13:U13*J$15:U$15)</f>
        <v>217.5</v>
      </c>
      <c r="F13" s="11">
        <f>MIN(FLOOR(10000/E13,1),40)</f>
        <v>40</v>
      </c>
      <c r="J13" s="15">
        <f t="shared" si="1"/>
        <v>0</v>
      </c>
      <c r="K13">
        <f t="shared" si="1"/>
        <v>2</v>
      </c>
      <c r="L13">
        <f t="shared" si="1"/>
        <v>2</v>
      </c>
      <c r="M13" s="8">
        <v>1.5</v>
      </c>
      <c r="N13">
        <f t="shared" si="1"/>
        <v>4</v>
      </c>
      <c r="O13">
        <f t="shared" si="1"/>
        <v>0</v>
      </c>
      <c r="P13">
        <f t="shared" si="1"/>
        <v>0</v>
      </c>
      <c r="Q13">
        <f t="shared" si="1"/>
        <v>0</v>
      </c>
      <c r="R13">
        <f t="shared" si="1"/>
        <v>0</v>
      </c>
      <c r="S13">
        <f t="shared" si="1"/>
        <v>0</v>
      </c>
      <c r="T13">
        <f t="shared" si="1"/>
        <v>4</v>
      </c>
      <c r="U13" s="16">
        <f t="shared" si="1"/>
        <v>5</v>
      </c>
    </row>
    <row r="15" spans="1:21" x14ac:dyDescent="0.3">
      <c r="J15">
        <v>10</v>
      </c>
      <c r="K15">
        <v>5</v>
      </c>
      <c r="L15">
        <v>10</v>
      </c>
      <c r="M15">
        <v>5</v>
      </c>
      <c r="N15">
        <v>10</v>
      </c>
      <c r="O15">
        <v>40</v>
      </c>
      <c r="P15">
        <v>60</v>
      </c>
      <c r="Q15">
        <v>20</v>
      </c>
      <c r="R15">
        <v>50</v>
      </c>
      <c r="S15">
        <v>5</v>
      </c>
      <c r="T15">
        <v>10</v>
      </c>
      <c r="U15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3C8C-462F-4A32-B1CD-4B8DD0AA3191}">
  <dimension ref="A1:U17"/>
  <sheetViews>
    <sheetView workbookViewId="0">
      <selection activeCell="G17" sqref="G17"/>
    </sheetView>
  </sheetViews>
  <sheetFormatPr defaultRowHeight="14.4" x14ac:dyDescent="0.3"/>
  <cols>
    <col min="10" max="21" width="12.5546875" customWidth="1"/>
  </cols>
  <sheetData>
    <row r="1" spans="1:2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3">
      <c r="A2" s="7">
        <v>1</v>
      </c>
      <c r="B2" s="7">
        <v>1</v>
      </c>
      <c r="C2" s="7">
        <v>4</v>
      </c>
      <c r="D2" s="7">
        <v>350</v>
      </c>
      <c r="E2" s="7">
        <v>270</v>
      </c>
      <c r="F2" s="7">
        <v>37</v>
      </c>
      <c r="G2" s="7">
        <v>600</v>
      </c>
      <c r="H2" s="7">
        <v>92</v>
      </c>
      <c r="I2" s="7">
        <v>1139.4713589999999</v>
      </c>
      <c r="J2" s="7">
        <v>7</v>
      </c>
      <c r="K2" s="7">
        <v>0</v>
      </c>
      <c r="L2" s="7">
        <v>3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3</v>
      </c>
      <c r="U2" s="7">
        <v>7</v>
      </c>
    </row>
    <row r="3" spans="1:21" x14ac:dyDescent="0.3">
      <c r="A3" s="7">
        <v>2</v>
      </c>
      <c r="B3" s="7">
        <v>1</v>
      </c>
      <c r="C3" s="7">
        <v>8</v>
      </c>
      <c r="D3" s="7">
        <v>220</v>
      </c>
      <c r="E3" s="7">
        <v>337.5</v>
      </c>
      <c r="F3" s="7">
        <v>29</v>
      </c>
      <c r="G3" s="7">
        <v>611</v>
      </c>
      <c r="H3" s="7">
        <v>91.12</v>
      </c>
      <c r="I3" s="7">
        <v>1471.9444109999999</v>
      </c>
      <c r="J3" s="7">
        <v>0</v>
      </c>
      <c r="K3" s="7">
        <v>4.5</v>
      </c>
      <c r="L3" s="7">
        <v>3.5</v>
      </c>
      <c r="M3" s="7">
        <v>0</v>
      </c>
      <c r="N3" s="7">
        <v>0</v>
      </c>
      <c r="O3" s="7">
        <v>1.5</v>
      </c>
      <c r="P3" s="7">
        <v>0</v>
      </c>
      <c r="Q3" s="7">
        <v>0</v>
      </c>
      <c r="R3" s="7">
        <v>0</v>
      </c>
      <c r="S3" s="7">
        <v>2</v>
      </c>
      <c r="T3" s="7">
        <v>3</v>
      </c>
      <c r="U3" s="7">
        <v>9</v>
      </c>
    </row>
    <row r="4" spans="1:21" x14ac:dyDescent="0.3">
      <c r="A4" s="7">
        <v>3</v>
      </c>
      <c r="B4" s="7">
        <v>1</v>
      </c>
      <c r="C4" s="7">
        <v>12</v>
      </c>
      <c r="D4" s="7">
        <v>280</v>
      </c>
      <c r="E4" s="7">
        <v>525</v>
      </c>
      <c r="F4" s="7">
        <v>19</v>
      </c>
      <c r="G4" s="7">
        <v>597</v>
      </c>
      <c r="H4" s="7">
        <v>92.24</v>
      </c>
      <c r="I4" s="7">
        <v>1219.3358579999999</v>
      </c>
      <c r="J4" s="7">
        <v>3</v>
      </c>
      <c r="K4" s="7">
        <v>0</v>
      </c>
      <c r="L4" s="7">
        <v>4</v>
      </c>
      <c r="M4" s="7">
        <v>5</v>
      </c>
      <c r="N4" s="7">
        <v>0</v>
      </c>
      <c r="O4" s="7">
        <v>0</v>
      </c>
      <c r="P4" s="7">
        <v>0.5</v>
      </c>
      <c r="Q4" s="7">
        <v>0</v>
      </c>
      <c r="R4" s="7">
        <v>0</v>
      </c>
      <c r="S4" s="7">
        <v>4</v>
      </c>
      <c r="T4" s="7">
        <v>4</v>
      </c>
      <c r="U4" s="7">
        <v>17</v>
      </c>
    </row>
    <row r="5" spans="1:21" x14ac:dyDescent="0.3">
      <c r="A5" s="7">
        <v>4</v>
      </c>
      <c r="B5" s="7">
        <v>1</v>
      </c>
      <c r="C5" s="7">
        <v>14</v>
      </c>
      <c r="D5" s="7">
        <v>200</v>
      </c>
      <c r="E5" s="7">
        <v>465</v>
      </c>
      <c r="F5" s="7">
        <v>21</v>
      </c>
      <c r="G5" s="7">
        <v>768</v>
      </c>
      <c r="H5" s="7">
        <v>78.56</v>
      </c>
      <c r="I5" s="7">
        <v>275.25978900000001</v>
      </c>
      <c r="J5" s="7">
        <v>3</v>
      </c>
      <c r="K5" s="7">
        <v>0</v>
      </c>
      <c r="L5" s="7">
        <v>4</v>
      </c>
      <c r="M5" s="7">
        <v>5</v>
      </c>
      <c r="N5" s="7">
        <v>0</v>
      </c>
      <c r="O5" s="7">
        <v>0</v>
      </c>
      <c r="P5" s="7">
        <v>0.5</v>
      </c>
      <c r="Q5" s="7">
        <v>0</v>
      </c>
      <c r="R5" s="7">
        <v>0</v>
      </c>
      <c r="S5" s="7">
        <v>4</v>
      </c>
      <c r="T5" s="7">
        <v>4</v>
      </c>
      <c r="U5" s="7">
        <v>14</v>
      </c>
    </row>
    <row r="6" spans="1:21" x14ac:dyDescent="0.3">
      <c r="A6" s="7">
        <v>5</v>
      </c>
      <c r="B6" s="7">
        <v>1</v>
      </c>
      <c r="C6" s="7">
        <v>4</v>
      </c>
      <c r="D6" s="7">
        <v>250</v>
      </c>
      <c r="E6" s="7">
        <v>240</v>
      </c>
      <c r="F6" s="7">
        <v>40</v>
      </c>
      <c r="G6" s="7">
        <v>587</v>
      </c>
      <c r="H6" s="7">
        <v>93.04</v>
      </c>
      <c r="I6" s="7">
        <v>837.42300299999999</v>
      </c>
      <c r="J6" s="7">
        <v>8.5</v>
      </c>
      <c r="K6" s="7">
        <v>0</v>
      </c>
      <c r="L6" s="7">
        <v>2.5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3</v>
      </c>
      <c r="U6" s="7">
        <v>5</v>
      </c>
    </row>
    <row r="7" spans="1:21" x14ac:dyDescent="0.3">
      <c r="A7" s="7">
        <v>6</v>
      </c>
      <c r="B7" s="7">
        <v>1</v>
      </c>
      <c r="C7" s="7">
        <v>8</v>
      </c>
      <c r="D7" s="7">
        <v>300</v>
      </c>
      <c r="E7" s="7">
        <v>365</v>
      </c>
      <c r="F7" s="7">
        <v>27</v>
      </c>
      <c r="G7" s="7">
        <v>545</v>
      </c>
      <c r="H7" s="7">
        <v>96.399999999999991</v>
      </c>
      <c r="I7" s="7">
        <v>1096.618428</v>
      </c>
      <c r="J7" s="7">
        <v>0</v>
      </c>
      <c r="K7" s="7">
        <v>12</v>
      </c>
      <c r="L7" s="7">
        <v>1.5</v>
      </c>
      <c r="M7" s="7">
        <v>4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3</v>
      </c>
      <c r="U7" s="7">
        <v>12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9">
        <v>4</v>
      </c>
      <c r="E10" s="11" cm="1">
        <f t="array" ref="E10">SUM(J10:U10*J$17:U$17)</f>
        <v>270</v>
      </c>
      <c r="F10" s="11">
        <f t="shared" ref="F10:F15" si="0">MIN(FLOOR(10000/E10,1),40)</f>
        <v>37</v>
      </c>
      <c r="J10" s="12">
        <f>J2</f>
        <v>7</v>
      </c>
      <c r="K10" s="13">
        <f t="shared" ref="K10:U10" si="1">K2</f>
        <v>0</v>
      </c>
      <c r="L10" s="13">
        <f t="shared" si="1"/>
        <v>3</v>
      </c>
      <c r="M10" s="13">
        <f t="shared" si="1"/>
        <v>0</v>
      </c>
      <c r="N10" s="13">
        <f t="shared" si="1"/>
        <v>0</v>
      </c>
      <c r="O10" s="13">
        <f t="shared" si="1"/>
        <v>0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13">
        <f t="shared" si="1"/>
        <v>0</v>
      </c>
      <c r="T10" s="13">
        <f t="shared" si="1"/>
        <v>3</v>
      </c>
      <c r="U10" s="14">
        <f t="shared" si="1"/>
        <v>7</v>
      </c>
    </row>
    <row r="11" spans="1:21" x14ac:dyDescent="0.3">
      <c r="A11">
        <v>2</v>
      </c>
      <c r="C11" s="20">
        <v>9</v>
      </c>
      <c r="E11" s="8" cm="1">
        <f t="array" ref="E11">SUM(J11:U11*J$17:U$17)</f>
        <v>327.5</v>
      </c>
      <c r="F11" s="8">
        <f t="shared" si="0"/>
        <v>30</v>
      </c>
      <c r="J11" s="15">
        <f t="shared" ref="J11:U15" si="2">J3</f>
        <v>0</v>
      </c>
      <c r="K11">
        <f t="shared" si="2"/>
        <v>4.5</v>
      </c>
      <c r="L11">
        <f t="shared" si="2"/>
        <v>3.5</v>
      </c>
      <c r="M11">
        <f t="shared" si="2"/>
        <v>0</v>
      </c>
      <c r="N11">
        <f t="shared" si="2"/>
        <v>0</v>
      </c>
      <c r="O11" s="8">
        <v>1.25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2</v>
      </c>
      <c r="T11">
        <f t="shared" si="2"/>
        <v>3</v>
      </c>
      <c r="U11" s="16">
        <f t="shared" si="2"/>
        <v>9</v>
      </c>
    </row>
    <row r="12" spans="1:21" x14ac:dyDescent="0.3">
      <c r="A12">
        <v>3</v>
      </c>
      <c r="C12" s="20">
        <v>14</v>
      </c>
      <c r="E12" s="10" cm="1">
        <f t="array" ref="E12">SUM(J12:U12*J$17:U$17)</f>
        <v>555</v>
      </c>
      <c r="F12" s="10">
        <f t="shared" si="0"/>
        <v>18</v>
      </c>
      <c r="J12" s="15">
        <f t="shared" si="2"/>
        <v>3</v>
      </c>
      <c r="K12">
        <f t="shared" si="2"/>
        <v>0</v>
      </c>
      <c r="L12">
        <f t="shared" si="2"/>
        <v>4</v>
      </c>
      <c r="M12">
        <f t="shared" si="2"/>
        <v>5</v>
      </c>
      <c r="N12">
        <f t="shared" si="2"/>
        <v>0</v>
      </c>
      <c r="O12">
        <f t="shared" si="2"/>
        <v>0</v>
      </c>
      <c r="P12" s="10">
        <v>0.75</v>
      </c>
      <c r="Q12">
        <f t="shared" si="2"/>
        <v>0</v>
      </c>
      <c r="R12">
        <f t="shared" si="2"/>
        <v>0</v>
      </c>
      <c r="S12" s="10">
        <v>7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14</v>
      </c>
      <c r="E13" s="10" cm="1">
        <f t="array" ref="E13">SUM(J13:U13*J$17:U$17)</f>
        <v>495</v>
      </c>
      <c r="F13" s="10">
        <f t="shared" si="0"/>
        <v>20</v>
      </c>
      <c r="J13" s="15">
        <f t="shared" si="2"/>
        <v>3</v>
      </c>
      <c r="K13">
        <f t="shared" si="2"/>
        <v>0</v>
      </c>
      <c r="L13">
        <f t="shared" si="2"/>
        <v>4</v>
      </c>
      <c r="M13">
        <f t="shared" si="2"/>
        <v>5</v>
      </c>
      <c r="N13">
        <f t="shared" si="2"/>
        <v>0</v>
      </c>
      <c r="O13">
        <f t="shared" si="2"/>
        <v>0</v>
      </c>
      <c r="P13" s="10">
        <v>0.75</v>
      </c>
      <c r="Q13">
        <f t="shared" si="2"/>
        <v>0</v>
      </c>
      <c r="R13">
        <f t="shared" si="2"/>
        <v>0</v>
      </c>
      <c r="S13" s="10">
        <v>7</v>
      </c>
      <c r="T13">
        <f t="shared" si="2"/>
        <v>4</v>
      </c>
      <c r="U13" s="16">
        <f t="shared" si="2"/>
        <v>14</v>
      </c>
    </row>
    <row r="14" spans="1:21" x14ac:dyDescent="0.3">
      <c r="A14">
        <v>5</v>
      </c>
      <c r="C14" s="20">
        <v>5</v>
      </c>
      <c r="E14" s="10" cm="1">
        <f t="array" ref="E14">SUM(J14:U14*J$17:U$17)</f>
        <v>252.5</v>
      </c>
      <c r="F14" s="10">
        <f t="shared" si="0"/>
        <v>39</v>
      </c>
      <c r="J14" s="23">
        <v>10</v>
      </c>
      <c r="K14">
        <f t="shared" si="2"/>
        <v>0</v>
      </c>
      <c r="L14" s="8">
        <v>2.25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3</v>
      </c>
      <c r="U14" s="16">
        <f t="shared" si="2"/>
        <v>5</v>
      </c>
    </row>
    <row r="15" spans="1:21" ht="15" thickBot="1" x14ac:dyDescent="0.35">
      <c r="A15">
        <v>6</v>
      </c>
      <c r="C15" s="31">
        <v>8</v>
      </c>
      <c r="E15" s="10" cm="1">
        <f t="array" ref="E15">SUM(J15:U15*J$17:U$17)</f>
        <v>370</v>
      </c>
      <c r="F15" s="11">
        <f t="shared" si="0"/>
        <v>27</v>
      </c>
      <c r="J15" s="30">
        <v>0.5</v>
      </c>
      <c r="K15" s="18">
        <f t="shared" si="2"/>
        <v>12</v>
      </c>
      <c r="L15" s="18">
        <f t="shared" si="2"/>
        <v>1.5</v>
      </c>
      <c r="M15" s="18">
        <f t="shared" si="2"/>
        <v>4</v>
      </c>
      <c r="N15" s="18">
        <f t="shared" si="2"/>
        <v>0</v>
      </c>
      <c r="O15" s="18">
        <f t="shared" si="2"/>
        <v>0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0</v>
      </c>
      <c r="T15" s="18">
        <f t="shared" si="2"/>
        <v>3</v>
      </c>
      <c r="U15" s="19">
        <f t="shared" si="2"/>
        <v>12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C548-FD32-41E5-B81E-EF3BC6E6BA59}">
  <dimension ref="A1:U15"/>
  <sheetViews>
    <sheetView topLeftCell="A9" workbookViewId="0">
      <selection activeCell="K30" sqref="K30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485</v>
      </c>
      <c r="F2">
        <v>20</v>
      </c>
      <c r="G2">
        <v>702</v>
      </c>
      <c r="H2">
        <v>83.84</v>
      </c>
      <c r="I2">
        <v>386.39604600000001</v>
      </c>
      <c r="J2">
        <v>11.5</v>
      </c>
      <c r="K2">
        <v>0</v>
      </c>
      <c r="L2">
        <v>7</v>
      </c>
      <c r="M2">
        <v>0</v>
      </c>
      <c r="N2">
        <v>12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525</v>
      </c>
      <c r="F3">
        <v>19</v>
      </c>
      <c r="G3">
        <v>739</v>
      </c>
      <c r="H3">
        <v>80.88</v>
      </c>
      <c r="I3">
        <v>551.04192799999998</v>
      </c>
      <c r="J3">
        <v>11.5</v>
      </c>
      <c r="K3">
        <v>0</v>
      </c>
      <c r="L3">
        <v>7</v>
      </c>
      <c r="M3">
        <v>0</v>
      </c>
      <c r="N3">
        <v>12</v>
      </c>
      <c r="O3">
        <v>0</v>
      </c>
      <c r="P3">
        <v>0</v>
      </c>
      <c r="Q3">
        <v>0</v>
      </c>
      <c r="R3">
        <v>0</v>
      </c>
      <c r="S3">
        <v>0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780</v>
      </c>
      <c r="F4">
        <v>12</v>
      </c>
      <c r="G4">
        <v>844</v>
      </c>
      <c r="H4">
        <v>72.48</v>
      </c>
      <c r="I4">
        <v>88.621621000000005</v>
      </c>
      <c r="J4">
        <v>18</v>
      </c>
      <c r="K4">
        <v>0</v>
      </c>
      <c r="L4">
        <v>7</v>
      </c>
      <c r="M4">
        <v>0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4</v>
      </c>
      <c r="D5">
        <v>300</v>
      </c>
      <c r="E5">
        <v>300</v>
      </c>
      <c r="F5">
        <v>33</v>
      </c>
      <c r="G5">
        <v>569</v>
      </c>
      <c r="H5">
        <v>94.48</v>
      </c>
      <c r="I5">
        <v>42.243375</v>
      </c>
      <c r="J5">
        <v>8</v>
      </c>
      <c r="K5">
        <v>0</v>
      </c>
      <c r="L5">
        <v>3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4</v>
      </c>
      <c r="U5">
        <v>6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280</v>
      </c>
      <c r="F6">
        <v>35</v>
      </c>
      <c r="G6">
        <v>564</v>
      </c>
      <c r="H6">
        <v>94.88</v>
      </c>
      <c r="I6">
        <v>39.145764999999997</v>
      </c>
      <c r="J6">
        <v>8</v>
      </c>
      <c r="K6">
        <v>0</v>
      </c>
      <c r="L6">
        <v>3</v>
      </c>
      <c r="M6">
        <v>0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5</v>
      </c>
    </row>
    <row r="7" spans="1:21" ht="15" thickBot="1" x14ac:dyDescent="0.35"/>
    <row r="8" spans="1:21" x14ac:dyDescent="0.3">
      <c r="A8" t="s">
        <v>0</v>
      </c>
      <c r="B8" t="s">
        <v>1</v>
      </c>
      <c r="C8" s="1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4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6" t="s">
        <v>20</v>
      </c>
    </row>
    <row r="9" spans="1:21" x14ac:dyDescent="0.3">
      <c r="A9">
        <v>1</v>
      </c>
      <c r="C9" s="20">
        <v>10</v>
      </c>
      <c r="E9" s="11" cm="1">
        <f t="array" ref="E9">SUM(J9:U9*J$15:U$15)</f>
        <v>485</v>
      </c>
      <c r="F9" s="11">
        <f>MIN(FLOOR(10000/E9,1),40)</f>
        <v>20</v>
      </c>
      <c r="J9" s="12">
        <f>J2</f>
        <v>11.5</v>
      </c>
      <c r="K9" s="13">
        <f t="shared" ref="K9:U9" si="0">K2</f>
        <v>0</v>
      </c>
      <c r="L9" s="13">
        <f t="shared" si="0"/>
        <v>7</v>
      </c>
      <c r="M9" s="13">
        <f t="shared" si="0"/>
        <v>0</v>
      </c>
      <c r="N9" s="13">
        <f t="shared" si="0"/>
        <v>12</v>
      </c>
      <c r="O9" s="13">
        <f t="shared" si="0"/>
        <v>0</v>
      </c>
      <c r="P9" s="13">
        <f t="shared" si="0"/>
        <v>0</v>
      </c>
      <c r="Q9" s="13">
        <f t="shared" si="0"/>
        <v>0</v>
      </c>
      <c r="R9" s="13">
        <f t="shared" si="0"/>
        <v>0</v>
      </c>
      <c r="S9" s="13">
        <f t="shared" si="0"/>
        <v>0</v>
      </c>
      <c r="T9" s="13">
        <f t="shared" si="0"/>
        <v>4</v>
      </c>
      <c r="U9" s="14">
        <f t="shared" si="0"/>
        <v>7</v>
      </c>
    </row>
    <row r="10" spans="1:21" x14ac:dyDescent="0.3">
      <c r="A10">
        <v>2</v>
      </c>
      <c r="C10" s="20">
        <v>10</v>
      </c>
      <c r="E10" s="8" cm="1">
        <f t="array" ref="E10">SUM(J10:U10*J$15:U$15)</f>
        <v>525</v>
      </c>
      <c r="F10" s="8">
        <f>MIN(FLOOR(10000/E10,1),40)</f>
        <v>19</v>
      </c>
      <c r="J10" s="15">
        <f t="shared" ref="J10:U13" si="1">J3</f>
        <v>11.5</v>
      </c>
      <c r="K10">
        <f t="shared" si="1"/>
        <v>0</v>
      </c>
      <c r="L10">
        <f t="shared" si="1"/>
        <v>7</v>
      </c>
      <c r="M10">
        <f t="shared" si="1"/>
        <v>0</v>
      </c>
      <c r="N10">
        <f t="shared" si="1"/>
        <v>12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1"/>
        <v>0</v>
      </c>
      <c r="T10">
        <f t="shared" si="1"/>
        <v>4</v>
      </c>
      <c r="U10" s="16">
        <f t="shared" si="1"/>
        <v>9</v>
      </c>
    </row>
    <row r="11" spans="1:21" x14ac:dyDescent="0.3">
      <c r="A11">
        <v>3</v>
      </c>
      <c r="C11" s="20">
        <v>27</v>
      </c>
      <c r="E11" s="10" cm="1">
        <f t="array" ref="E11">SUM(J11:U11*J$15:U$15)</f>
        <v>875</v>
      </c>
      <c r="F11" s="10">
        <f>MIN(FLOOR(10000/E11,1),40)</f>
        <v>11</v>
      </c>
      <c r="J11" s="23">
        <v>28</v>
      </c>
      <c r="K11">
        <f t="shared" si="1"/>
        <v>0</v>
      </c>
      <c r="L11" s="8">
        <v>6.5</v>
      </c>
      <c r="M11">
        <f t="shared" si="1"/>
        <v>0</v>
      </c>
      <c r="N11">
        <f t="shared" si="1"/>
        <v>15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4</v>
      </c>
      <c r="U11" s="16">
        <f t="shared" si="1"/>
        <v>17</v>
      </c>
    </row>
    <row r="12" spans="1:21" x14ac:dyDescent="0.3">
      <c r="A12">
        <v>4</v>
      </c>
      <c r="C12" s="9">
        <v>4</v>
      </c>
      <c r="E12" s="11" cm="1">
        <f t="array" ref="E12">SUM(J12:U12*J$15:U$15)</f>
        <v>300</v>
      </c>
      <c r="F12" s="11">
        <f>MIN(FLOOR(10000/E12,1),40)</f>
        <v>33</v>
      </c>
      <c r="J12" s="15">
        <f t="shared" si="1"/>
        <v>8</v>
      </c>
      <c r="K12">
        <f t="shared" si="1"/>
        <v>0</v>
      </c>
      <c r="L12">
        <f t="shared" si="1"/>
        <v>3</v>
      </c>
      <c r="M12">
        <f t="shared" si="1"/>
        <v>0</v>
      </c>
      <c r="N12">
        <f t="shared" si="1"/>
        <v>3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4</v>
      </c>
      <c r="U12" s="16">
        <f t="shared" si="1"/>
        <v>6</v>
      </c>
    </row>
    <row r="13" spans="1:21" x14ac:dyDescent="0.3">
      <c r="A13">
        <v>5</v>
      </c>
      <c r="C13" s="9">
        <v>4</v>
      </c>
      <c r="E13" s="8" cm="1">
        <f t="array" ref="E13">SUM(J13:U13*J$15:U$15)</f>
        <v>270</v>
      </c>
      <c r="F13" s="8">
        <f>MIN(FLOOR(10000/E13,1),40)</f>
        <v>37</v>
      </c>
      <c r="J13" s="27">
        <v>7.5</v>
      </c>
      <c r="K13">
        <f t="shared" si="1"/>
        <v>0</v>
      </c>
      <c r="L13" s="8">
        <v>2.5</v>
      </c>
      <c r="M13">
        <f t="shared" si="1"/>
        <v>0</v>
      </c>
      <c r="N13">
        <f t="shared" si="1"/>
        <v>3</v>
      </c>
      <c r="O13">
        <f t="shared" si="1"/>
        <v>0</v>
      </c>
      <c r="P13">
        <f t="shared" si="1"/>
        <v>0</v>
      </c>
      <c r="Q13">
        <f t="shared" si="1"/>
        <v>0</v>
      </c>
      <c r="R13">
        <f t="shared" si="1"/>
        <v>0</v>
      </c>
      <c r="S13">
        <f t="shared" si="1"/>
        <v>0</v>
      </c>
      <c r="T13">
        <f t="shared" si="1"/>
        <v>4</v>
      </c>
      <c r="U13" s="16">
        <f t="shared" si="1"/>
        <v>5</v>
      </c>
    </row>
    <row r="15" spans="1:21" x14ac:dyDescent="0.3">
      <c r="J15">
        <v>10</v>
      </c>
      <c r="K15">
        <v>5</v>
      </c>
      <c r="L15">
        <v>10</v>
      </c>
      <c r="M15">
        <v>5</v>
      </c>
      <c r="N15">
        <v>10</v>
      </c>
      <c r="O15">
        <v>40</v>
      </c>
      <c r="P15">
        <v>60</v>
      </c>
      <c r="Q15">
        <v>20</v>
      </c>
      <c r="R15">
        <v>50</v>
      </c>
      <c r="S15">
        <v>5</v>
      </c>
      <c r="T15">
        <v>10</v>
      </c>
      <c r="U15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1FFD-2280-4B2C-9B95-9003CCDF946D}">
  <dimension ref="A1:U15"/>
  <sheetViews>
    <sheetView workbookViewId="0">
      <selection activeCell="E24" sqref="E24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255</v>
      </c>
      <c r="F2">
        <v>39</v>
      </c>
      <c r="G2">
        <v>587</v>
      </c>
      <c r="H2">
        <v>93.04</v>
      </c>
      <c r="I2">
        <v>69.350876999999997</v>
      </c>
      <c r="J2">
        <v>0</v>
      </c>
      <c r="K2">
        <v>2</v>
      </c>
      <c r="L2">
        <v>2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295</v>
      </c>
      <c r="F3">
        <v>33</v>
      </c>
      <c r="G3">
        <v>600</v>
      </c>
      <c r="H3">
        <v>92</v>
      </c>
      <c r="I3">
        <v>196.75201200000001</v>
      </c>
      <c r="J3">
        <v>0</v>
      </c>
      <c r="K3">
        <v>2</v>
      </c>
      <c r="L3">
        <v>2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760</v>
      </c>
      <c r="F4">
        <v>13</v>
      </c>
      <c r="G4">
        <v>927</v>
      </c>
      <c r="H4">
        <v>65.84</v>
      </c>
      <c r="I4">
        <v>35.373522999999999</v>
      </c>
      <c r="J4">
        <v>8</v>
      </c>
      <c r="K4">
        <v>0</v>
      </c>
      <c r="L4">
        <v>4</v>
      </c>
      <c r="M4">
        <v>0</v>
      </c>
      <c r="N4">
        <v>0</v>
      </c>
      <c r="O4">
        <v>2</v>
      </c>
      <c r="P4">
        <v>3</v>
      </c>
      <c r="Q4">
        <v>0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6</v>
      </c>
      <c r="D5">
        <v>260</v>
      </c>
      <c r="E5">
        <v>310</v>
      </c>
      <c r="F5">
        <v>32</v>
      </c>
      <c r="G5">
        <v>539</v>
      </c>
      <c r="H5">
        <v>96.88</v>
      </c>
      <c r="I5">
        <v>1033.6396999999999</v>
      </c>
      <c r="J5">
        <v>4</v>
      </c>
      <c r="K5">
        <v>0</v>
      </c>
      <c r="L5">
        <v>4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3</v>
      </c>
      <c r="U5">
        <v>8</v>
      </c>
    </row>
    <row r="6" spans="1:21" x14ac:dyDescent="0.3">
      <c r="A6">
        <v>5</v>
      </c>
      <c r="B6">
        <v>1</v>
      </c>
      <c r="C6">
        <v>5</v>
      </c>
      <c r="D6">
        <v>240</v>
      </c>
      <c r="E6">
        <v>185</v>
      </c>
      <c r="F6">
        <v>40</v>
      </c>
      <c r="G6">
        <v>563</v>
      </c>
      <c r="H6">
        <v>94.96</v>
      </c>
      <c r="I6">
        <v>778.193895</v>
      </c>
      <c r="J6">
        <v>0</v>
      </c>
      <c r="K6">
        <v>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3</v>
      </c>
      <c r="U6">
        <v>6</v>
      </c>
    </row>
    <row r="7" spans="1:21" ht="15" thickBot="1" x14ac:dyDescent="0.35"/>
    <row r="8" spans="1:21" x14ac:dyDescent="0.3">
      <c r="A8" t="s">
        <v>0</v>
      </c>
      <c r="B8" t="s">
        <v>1</v>
      </c>
      <c r="C8" s="1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4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6" t="s">
        <v>20</v>
      </c>
    </row>
    <row r="9" spans="1:21" x14ac:dyDescent="0.3">
      <c r="A9">
        <v>1</v>
      </c>
      <c r="C9" s="9">
        <v>4</v>
      </c>
      <c r="E9" s="10" cm="1">
        <f t="array" ref="E9">SUM(J9:U9*J$15:U$15)</f>
        <v>315</v>
      </c>
      <c r="F9" s="10">
        <f>MIN(FLOOR(10000/E9,1),40)</f>
        <v>31</v>
      </c>
      <c r="J9" s="22">
        <v>5</v>
      </c>
      <c r="K9" s="29">
        <v>0</v>
      </c>
      <c r="L9" s="25">
        <v>4</v>
      </c>
      <c r="M9" s="13">
        <f t="shared" ref="M9:U9" si="0">M2</f>
        <v>0</v>
      </c>
      <c r="N9" s="13">
        <f t="shared" si="0"/>
        <v>0</v>
      </c>
      <c r="O9" s="13">
        <f t="shared" si="0"/>
        <v>1</v>
      </c>
      <c r="P9" s="13">
        <f t="shared" si="0"/>
        <v>0</v>
      </c>
      <c r="Q9" s="13">
        <f t="shared" si="0"/>
        <v>0</v>
      </c>
      <c r="R9" s="13">
        <f t="shared" si="0"/>
        <v>0</v>
      </c>
      <c r="S9" s="13">
        <f t="shared" si="0"/>
        <v>1</v>
      </c>
      <c r="T9" s="13">
        <f t="shared" si="0"/>
        <v>4</v>
      </c>
      <c r="U9" s="14">
        <f t="shared" si="0"/>
        <v>7</v>
      </c>
    </row>
    <row r="10" spans="1:21" x14ac:dyDescent="0.3">
      <c r="A10">
        <v>2</v>
      </c>
      <c r="C10" s="20">
        <v>10</v>
      </c>
      <c r="E10" s="10" cm="1">
        <f t="array" ref="E10">SUM(J10:U10*J$15:U$15)</f>
        <v>350</v>
      </c>
      <c r="F10" s="10">
        <f>MIN(FLOOR(10000/E10,1),40)</f>
        <v>28</v>
      </c>
      <c r="J10" s="23">
        <v>3.5</v>
      </c>
      <c r="K10" s="8">
        <v>0</v>
      </c>
      <c r="L10" s="10">
        <v>5</v>
      </c>
      <c r="M10">
        <f t="shared" ref="J10:U13" si="1">M3</f>
        <v>0</v>
      </c>
      <c r="N10">
        <f t="shared" si="1"/>
        <v>0</v>
      </c>
      <c r="O10">
        <f t="shared" si="1"/>
        <v>1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1"/>
        <v>1</v>
      </c>
      <c r="T10">
        <f t="shared" si="1"/>
        <v>4</v>
      </c>
      <c r="U10" s="16">
        <f t="shared" si="1"/>
        <v>9</v>
      </c>
    </row>
    <row r="11" spans="1:21" x14ac:dyDescent="0.3">
      <c r="A11">
        <v>3</v>
      </c>
      <c r="C11" s="20">
        <f>8*5</f>
        <v>40</v>
      </c>
      <c r="E11" s="10" cm="1">
        <f t="array" ref="E11">SUM(J11:U11*J$15:U$15)</f>
        <v>755</v>
      </c>
      <c r="F11" s="11">
        <f>MIN(FLOOR(10000/E11,1),40)</f>
        <v>13</v>
      </c>
      <c r="J11" s="23">
        <v>9</v>
      </c>
      <c r="K11">
        <f t="shared" si="1"/>
        <v>0</v>
      </c>
      <c r="L11" s="10">
        <v>4.5</v>
      </c>
      <c r="M11">
        <f t="shared" si="1"/>
        <v>0</v>
      </c>
      <c r="N11">
        <f t="shared" si="1"/>
        <v>0</v>
      </c>
      <c r="O11" s="8">
        <v>0</v>
      </c>
      <c r="P11" s="10">
        <v>4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4</v>
      </c>
      <c r="U11" s="16">
        <f t="shared" si="1"/>
        <v>17</v>
      </c>
    </row>
    <row r="12" spans="1:21" x14ac:dyDescent="0.3">
      <c r="A12">
        <v>4</v>
      </c>
      <c r="C12" s="9">
        <v>6</v>
      </c>
      <c r="E12" s="10" cm="1">
        <f t="array" ref="E12">SUM(J12:U12*J$15:U$15)</f>
        <v>320</v>
      </c>
      <c r="F12" s="10">
        <f>MIN(FLOOR(10000/E12,1),40)</f>
        <v>31</v>
      </c>
      <c r="J12" s="23">
        <v>5</v>
      </c>
      <c r="K12">
        <f t="shared" si="1"/>
        <v>0</v>
      </c>
      <c r="L12">
        <f t="shared" si="1"/>
        <v>4</v>
      </c>
      <c r="M12">
        <f t="shared" si="1"/>
        <v>0</v>
      </c>
      <c r="N12">
        <f t="shared" si="1"/>
        <v>0</v>
      </c>
      <c r="O12">
        <f t="shared" si="1"/>
        <v>1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3</v>
      </c>
      <c r="U12" s="16">
        <f t="shared" si="1"/>
        <v>8</v>
      </c>
    </row>
    <row r="13" spans="1:21" x14ac:dyDescent="0.3">
      <c r="A13">
        <v>5</v>
      </c>
      <c r="C13" s="9">
        <v>5</v>
      </c>
      <c r="E13" s="10" cm="1">
        <f t="array" ref="E13">SUM(J13:U13*J$15:U$15)</f>
        <v>225</v>
      </c>
      <c r="F13" s="11">
        <f>MIN(FLOOR(10000/E13,1),40)</f>
        <v>40</v>
      </c>
      <c r="J13" s="15">
        <f t="shared" si="1"/>
        <v>0</v>
      </c>
      <c r="K13">
        <f t="shared" si="1"/>
        <v>6</v>
      </c>
      <c r="L13">
        <v>2</v>
      </c>
      <c r="M13">
        <f t="shared" si="1"/>
        <v>0</v>
      </c>
      <c r="N13">
        <f t="shared" si="1"/>
        <v>0</v>
      </c>
      <c r="O13" s="10">
        <v>0.5</v>
      </c>
      <c r="P13">
        <v>0</v>
      </c>
      <c r="Q13">
        <f t="shared" si="1"/>
        <v>0</v>
      </c>
      <c r="R13">
        <f t="shared" si="1"/>
        <v>0</v>
      </c>
      <c r="S13">
        <f t="shared" si="1"/>
        <v>1</v>
      </c>
      <c r="T13">
        <f t="shared" si="1"/>
        <v>3</v>
      </c>
      <c r="U13" s="16">
        <f t="shared" si="1"/>
        <v>6</v>
      </c>
    </row>
    <row r="15" spans="1:21" x14ac:dyDescent="0.3">
      <c r="J15">
        <v>10</v>
      </c>
      <c r="K15">
        <v>5</v>
      </c>
      <c r="L15">
        <v>10</v>
      </c>
      <c r="M15">
        <v>5</v>
      </c>
      <c r="N15">
        <v>10</v>
      </c>
      <c r="O15">
        <v>40</v>
      </c>
      <c r="P15">
        <v>60</v>
      </c>
      <c r="Q15">
        <v>20</v>
      </c>
      <c r="R15">
        <v>50</v>
      </c>
      <c r="S15">
        <v>5</v>
      </c>
      <c r="T15">
        <v>10</v>
      </c>
      <c r="U15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CDBF-74A3-430B-8DEC-09D4BA0647D9}">
  <dimension ref="A1:U11"/>
  <sheetViews>
    <sheetView workbookViewId="0">
      <selection activeCell="O16" sqref="O16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320</v>
      </c>
      <c r="F2">
        <v>31</v>
      </c>
      <c r="G2">
        <v>570</v>
      </c>
      <c r="H2">
        <v>94.399999999999991</v>
      </c>
      <c r="I2">
        <v>2324.1563390000001</v>
      </c>
      <c r="J2">
        <v>4</v>
      </c>
      <c r="K2">
        <v>0</v>
      </c>
      <c r="L2">
        <v>2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310</v>
      </c>
      <c r="F3">
        <v>32</v>
      </c>
      <c r="G3">
        <v>599</v>
      </c>
      <c r="H3">
        <v>92.08</v>
      </c>
      <c r="I3">
        <v>3284.3569579999998</v>
      </c>
      <c r="J3">
        <v>1</v>
      </c>
      <c r="K3">
        <v>4</v>
      </c>
      <c r="L3">
        <v>2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2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820</v>
      </c>
      <c r="F4">
        <v>12</v>
      </c>
      <c r="G4">
        <v>844</v>
      </c>
      <c r="H4">
        <v>72.48</v>
      </c>
      <c r="I4">
        <v>1542.275995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6</v>
      </c>
      <c r="U4">
        <v>17</v>
      </c>
    </row>
    <row r="5" spans="1:21" ht="15" thickBot="1" x14ac:dyDescent="0.35"/>
    <row r="6" spans="1:21" x14ac:dyDescent="0.3">
      <c r="A6" t="s">
        <v>0</v>
      </c>
      <c r="B6" t="s">
        <v>1</v>
      </c>
      <c r="C6" s="1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s="4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6" t="s">
        <v>20</v>
      </c>
    </row>
    <row r="7" spans="1:21" x14ac:dyDescent="0.3">
      <c r="A7">
        <v>1</v>
      </c>
      <c r="C7" s="33">
        <v>9</v>
      </c>
      <c r="E7" s="10" cm="1">
        <f t="array" ref="E7">SUM(J7:U7*J$11:U$11)</f>
        <v>490</v>
      </c>
      <c r="F7" s="10">
        <f t="shared" ref="F7:F9" si="0">MIN(FLOOR(10000/E7,1),40)</f>
        <v>20</v>
      </c>
      <c r="J7" s="22">
        <f>8+7</f>
        <v>15</v>
      </c>
      <c r="K7" s="13">
        <f t="shared" ref="K7:U7" si="1">K2</f>
        <v>0</v>
      </c>
      <c r="L7" s="25">
        <v>8</v>
      </c>
      <c r="M7" s="13">
        <f t="shared" si="1"/>
        <v>0</v>
      </c>
      <c r="N7" s="13">
        <f t="shared" si="1"/>
        <v>0</v>
      </c>
      <c r="O7" s="13">
        <f t="shared" si="1"/>
        <v>2</v>
      </c>
      <c r="P7" s="13">
        <f t="shared" si="1"/>
        <v>0</v>
      </c>
      <c r="Q7" s="13">
        <f t="shared" si="1"/>
        <v>0</v>
      </c>
      <c r="R7" s="13">
        <f t="shared" si="1"/>
        <v>0</v>
      </c>
      <c r="S7" s="13">
        <f t="shared" si="1"/>
        <v>0</v>
      </c>
      <c r="T7" s="13">
        <f t="shared" si="1"/>
        <v>4</v>
      </c>
      <c r="U7" s="14">
        <f t="shared" si="1"/>
        <v>7</v>
      </c>
    </row>
    <row r="8" spans="1:21" x14ac:dyDescent="0.3">
      <c r="A8">
        <v>2</v>
      </c>
      <c r="C8" s="34">
        <v>8</v>
      </c>
      <c r="E8" s="10" cm="1">
        <f t="array" ref="E8">SUM(J8:U8*J$11:U$11)</f>
        <v>510</v>
      </c>
      <c r="F8" s="10">
        <f t="shared" si="0"/>
        <v>19</v>
      </c>
      <c r="J8" s="23">
        <v>4</v>
      </c>
      <c r="K8" s="10">
        <v>14</v>
      </c>
      <c r="L8" s="10">
        <v>7</v>
      </c>
      <c r="M8">
        <f t="shared" ref="J8:U9" si="2">M3</f>
        <v>0</v>
      </c>
      <c r="N8">
        <f t="shared" si="2"/>
        <v>0</v>
      </c>
      <c r="O8">
        <f t="shared" si="2"/>
        <v>0</v>
      </c>
      <c r="P8">
        <f t="shared" si="2"/>
        <v>0</v>
      </c>
      <c r="Q8" s="8">
        <v>0</v>
      </c>
      <c r="R8" s="10">
        <v>2</v>
      </c>
      <c r="S8" s="10">
        <v>4</v>
      </c>
      <c r="T8">
        <f t="shared" si="2"/>
        <v>3</v>
      </c>
      <c r="U8" s="16">
        <f t="shared" si="2"/>
        <v>9</v>
      </c>
    </row>
    <row r="9" spans="1:21" x14ac:dyDescent="0.3">
      <c r="A9">
        <v>3</v>
      </c>
      <c r="C9" s="33">
        <v>45</v>
      </c>
      <c r="E9" s="10" cm="1">
        <f t="array" ref="E9">SUM(J9:U9*J$11:U$11)</f>
        <v>1010</v>
      </c>
      <c r="F9" s="10">
        <f t="shared" si="0"/>
        <v>9</v>
      </c>
      <c r="J9" s="17">
        <f t="shared" si="2"/>
        <v>0</v>
      </c>
      <c r="K9" s="18">
        <f t="shared" si="2"/>
        <v>0</v>
      </c>
      <c r="L9" s="26">
        <v>7</v>
      </c>
      <c r="M9" s="26">
        <v>8</v>
      </c>
      <c r="N9" s="18">
        <f t="shared" si="2"/>
        <v>0</v>
      </c>
      <c r="O9" s="26">
        <v>1</v>
      </c>
      <c r="P9" s="18">
        <f t="shared" si="2"/>
        <v>7</v>
      </c>
      <c r="Q9" s="26">
        <v>0.5</v>
      </c>
      <c r="R9" s="26">
        <v>1</v>
      </c>
      <c r="S9" s="18">
        <f t="shared" si="2"/>
        <v>0</v>
      </c>
      <c r="T9" s="24">
        <v>4</v>
      </c>
      <c r="U9" s="19">
        <f t="shared" si="2"/>
        <v>17</v>
      </c>
    </row>
    <row r="11" spans="1:21" x14ac:dyDescent="0.3">
      <c r="J11">
        <v>10</v>
      </c>
      <c r="K11">
        <v>5</v>
      </c>
      <c r="L11">
        <v>10</v>
      </c>
      <c r="M11">
        <v>5</v>
      </c>
      <c r="N11">
        <v>10</v>
      </c>
      <c r="O11">
        <v>40</v>
      </c>
      <c r="P11">
        <v>60</v>
      </c>
      <c r="Q11">
        <v>20</v>
      </c>
      <c r="R11">
        <v>50</v>
      </c>
      <c r="S11">
        <v>5</v>
      </c>
      <c r="T11">
        <v>10</v>
      </c>
      <c r="U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6606-D26A-4EA5-A8F3-57B1D41E1CEC}">
  <dimension ref="A1:U17"/>
  <sheetViews>
    <sheetView workbookViewId="0">
      <selection activeCell="I25" sqref="I25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480</v>
      </c>
      <c r="F2">
        <v>20</v>
      </c>
      <c r="G2">
        <v>702</v>
      </c>
      <c r="H2">
        <v>83.84</v>
      </c>
      <c r="I2">
        <v>2232.026175</v>
      </c>
      <c r="J2">
        <v>0</v>
      </c>
      <c r="K2">
        <v>0</v>
      </c>
      <c r="L2">
        <v>2.5</v>
      </c>
      <c r="M2">
        <v>14</v>
      </c>
      <c r="N2">
        <v>0</v>
      </c>
      <c r="O2">
        <v>3</v>
      </c>
      <c r="P2">
        <v>0</v>
      </c>
      <c r="Q2">
        <v>1</v>
      </c>
      <c r="R2">
        <v>0</v>
      </c>
      <c r="S2">
        <v>15</v>
      </c>
      <c r="T2">
        <v>3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457.5</v>
      </c>
      <c r="F3">
        <v>21</v>
      </c>
      <c r="G3">
        <v>719</v>
      </c>
      <c r="H3">
        <v>82.48</v>
      </c>
      <c r="I3">
        <v>321.980009</v>
      </c>
      <c r="J3">
        <v>3</v>
      </c>
      <c r="K3">
        <v>2</v>
      </c>
      <c r="L3">
        <v>2.5</v>
      </c>
      <c r="M3">
        <v>5</v>
      </c>
      <c r="N3">
        <v>0</v>
      </c>
      <c r="O3">
        <v>0</v>
      </c>
      <c r="P3">
        <v>2</v>
      </c>
      <c r="Q3">
        <v>0</v>
      </c>
      <c r="R3">
        <v>0</v>
      </c>
      <c r="S3">
        <v>7.5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650</v>
      </c>
      <c r="F4">
        <v>15</v>
      </c>
      <c r="G4">
        <v>784</v>
      </c>
      <c r="H4">
        <v>77.279999999999987</v>
      </c>
      <c r="I4">
        <v>932.95975099999998</v>
      </c>
      <c r="J4">
        <v>4</v>
      </c>
      <c r="K4">
        <v>0</v>
      </c>
      <c r="L4">
        <v>4</v>
      </c>
      <c r="M4">
        <v>6</v>
      </c>
      <c r="N4">
        <v>0</v>
      </c>
      <c r="O4">
        <v>3</v>
      </c>
      <c r="P4">
        <v>0</v>
      </c>
      <c r="Q4">
        <v>0</v>
      </c>
      <c r="R4">
        <v>0</v>
      </c>
      <c r="S4">
        <v>8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4</v>
      </c>
      <c r="D5">
        <v>250</v>
      </c>
      <c r="E5">
        <v>260</v>
      </c>
      <c r="F5">
        <v>38</v>
      </c>
      <c r="G5">
        <v>582</v>
      </c>
      <c r="H5">
        <v>93.44</v>
      </c>
      <c r="I5">
        <v>595.88791200000003</v>
      </c>
      <c r="J5">
        <v>3</v>
      </c>
      <c r="K5">
        <v>0</v>
      </c>
      <c r="L5">
        <v>4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7</v>
      </c>
      <c r="T5">
        <v>4</v>
      </c>
      <c r="U5">
        <v>5</v>
      </c>
    </row>
    <row r="6" spans="1:21" x14ac:dyDescent="0.3">
      <c r="A6">
        <v>5</v>
      </c>
      <c r="B6">
        <v>1</v>
      </c>
      <c r="C6">
        <v>4</v>
      </c>
      <c r="D6">
        <v>200</v>
      </c>
      <c r="E6">
        <v>210</v>
      </c>
      <c r="F6">
        <v>40</v>
      </c>
      <c r="G6">
        <v>623</v>
      </c>
      <c r="H6">
        <v>90.16</v>
      </c>
      <c r="I6">
        <v>725.31225900000004</v>
      </c>
      <c r="J6">
        <v>2</v>
      </c>
      <c r="K6">
        <v>0</v>
      </c>
      <c r="L6">
        <v>2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8</v>
      </c>
      <c r="T6">
        <v>4</v>
      </c>
      <c r="U6">
        <v>4</v>
      </c>
    </row>
    <row r="7" spans="1:21" x14ac:dyDescent="0.3">
      <c r="A7">
        <v>6</v>
      </c>
      <c r="B7">
        <v>1</v>
      </c>
      <c r="C7">
        <v>4</v>
      </c>
      <c r="D7">
        <v>300</v>
      </c>
      <c r="E7">
        <v>230</v>
      </c>
      <c r="F7">
        <v>40</v>
      </c>
      <c r="G7">
        <v>610</v>
      </c>
      <c r="H7">
        <v>91.2</v>
      </c>
      <c r="I7">
        <v>761.41997900000001</v>
      </c>
      <c r="J7">
        <v>0</v>
      </c>
      <c r="K7">
        <v>2</v>
      </c>
      <c r="L7">
        <v>2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7</v>
      </c>
      <c r="T7">
        <v>3</v>
      </c>
      <c r="U7">
        <v>6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10</v>
      </c>
      <c r="E10" s="8" cm="1">
        <f t="array" ref="E10">SUM(J10:U10*J$17:U$17)</f>
        <v>470</v>
      </c>
      <c r="F10" s="8">
        <f t="shared" ref="F10:F15" si="0">MIN(FLOOR(10000/E10,1),40)</f>
        <v>21</v>
      </c>
      <c r="J10" s="12">
        <f>J2</f>
        <v>0</v>
      </c>
      <c r="K10" s="13">
        <f t="shared" ref="K10:U10" si="1">K2</f>
        <v>0</v>
      </c>
      <c r="L10" s="13">
        <f t="shared" si="1"/>
        <v>2.5</v>
      </c>
      <c r="M10" s="29">
        <v>12</v>
      </c>
      <c r="N10" s="13">
        <f t="shared" si="1"/>
        <v>0</v>
      </c>
      <c r="O10" s="13">
        <f t="shared" si="1"/>
        <v>3</v>
      </c>
      <c r="P10" s="13">
        <f t="shared" si="1"/>
        <v>0</v>
      </c>
      <c r="Q10" s="13">
        <f t="shared" si="1"/>
        <v>1</v>
      </c>
      <c r="R10" s="13">
        <f t="shared" si="1"/>
        <v>0</v>
      </c>
      <c r="S10" s="13">
        <f t="shared" si="1"/>
        <v>15</v>
      </c>
      <c r="T10" s="13">
        <f t="shared" si="1"/>
        <v>3</v>
      </c>
      <c r="U10" s="14">
        <f t="shared" si="1"/>
        <v>7</v>
      </c>
    </row>
    <row r="11" spans="1:21" x14ac:dyDescent="0.3">
      <c r="A11">
        <v>2</v>
      </c>
      <c r="C11" s="20">
        <v>16</v>
      </c>
      <c r="E11" s="8" cm="1">
        <f t="array" ref="E11">SUM(J11:U11*J$17:U$17)</f>
        <v>440</v>
      </c>
      <c r="F11" s="8">
        <f t="shared" si="0"/>
        <v>22</v>
      </c>
      <c r="J11" s="15">
        <f t="shared" ref="J11:U15" si="2">J3</f>
        <v>3</v>
      </c>
      <c r="K11">
        <f t="shared" si="2"/>
        <v>2</v>
      </c>
      <c r="L11">
        <f t="shared" si="2"/>
        <v>2.5</v>
      </c>
      <c r="M11">
        <f t="shared" si="2"/>
        <v>5</v>
      </c>
      <c r="N11">
        <f t="shared" si="2"/>
        <v>0</v>
      </c>
      <c r="O11">
        <f t="shared" si="2"/>
        <v>0</v>
      </c>
      <c r="P11">
        <f t="shared" si="2"/>
        <v>2</v>
      </c>
      <c r="Q11">
        <f t="shared" si="2"/>
        <v>0</v>
      </c>
      <c r="R11">
        <f t="shared" si="2"/>
        <v>0</v>
      </c>
      <c r="S11" s="8">
        <v>4</v>
      </c>
      <c r="T11">
        <f t="shared" si="2"/>
        <v>3</v>
      </c>
      <c r="U11" s="16">
        <f t="shared" si="2"/>
        <v>9</v>
      </c>
    </row>
    <row r="12" spans="1:21" x14ac:dyDescent="0.3">
      <c r="A12">
        <v>3</v>
      </c>
      <c r="C12" s="20">
        <v>18</v>
      </c>
      <c r="E12" s="10" cm="1">
        <f t="array" ref="E12">SUM(J12:U12*J$17:U$17)</f>
        <v>660</v>
      </c>
      <c r="F12" s="11">
        <f t="shared" si="0"/>
        <v>15</v>
      </c>
      <c r="J12" s="15">
        <f t="shared" si="2"/>
        <v>4</v>
      </c>
      <c r="K12">
        <f t="shared" si="2"/>
        <v>0</v>
      </c>
      <c r="L12">
        <f t="shared" si="2"/>
        <v>4</v>
      </c>
      <c r="M12">
        <f t="shared" si="2"/>
        <v>6</v>
      </c>
      <c r="N12">
        <f t="shared" si="2"/>
        <v>0</v>
      </c>
      <c r="O12" s="10">
        <v>3.25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8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9">
        <v>4</v>
      </c>
      <c r="E13" s="8" cm="1">
        <f t="array" ref="E13">SUM(J13:U13*J$17:U$17)</f>
        <v>252.5</v>
      </c>
      <c r="F13" s="8">
        <f t="shared" si="0"/>
        <v>39</v>
      </c>
      <c r="J13" s="15">
        <f t="shared" si="2"/>
        <v>3</v>
      </c>
      <c r="K13">
        <f t="shared" si="2"/>
        <v>0</v>
      </c>
      <c r="L13" s="8">
        <v>3.5</v>
      </c>
      <c r="M13">
        <f t="shared" si="2"/>
        <v>3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 s="8">
        <f>2*3.25</f>
        <v>6.5</v>
      </c>
      <c r="T13">
        <f t="shared" si="2"/>
        <v>4</v>
      </c>
      <c r="U13" s="16">
        <f t="shared" si="2"/>
        <v>5</v>
      </c>
    </row>
    <row r="14" spans="1:21" x14ac:dyDescent="0.3">
      <c r="A14">
        <v>5</v>
      </c>
      <c r="C14" s="9">
        <v>4</v>
      </c>
      <c r="E14" s="8" cm="1">
        <f t="array" ref="E14">SUM(J14:U14*J$17:U$17)</f>
        <v>207.5</v>
      </c>
      <c r="F14" s="11">
        <f t="shared" si="0"/>
        <v>40</v>
      </c>
      <c r="J14" s="27">
        <v>1.75</v>
      </c>
      <c r="K14">
        <f t="shared" si="2"/>
        <v>0</v>
      </c>
      <c r="L14" s="10">
        <v>2.25</v>
      </c>
      <c r="M14" s="8">
        <v>1.5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8</v>
      </c>
      <c r="T14">
        <f t="shared" si="2"/>
        <v>4</v>
      </c>
      <c r="U14" s="16">
        <f t="shared" si="2"/>
        <v>4</v>
      </c>
    </row>
    <row r="15" spans="1:21" ht="15" thickBot="1" x14ac:dyDescent="0.35">
      <c r="A15">
        <v>6</v>
      </c>
      <c r="C15" s="31">
        <v>4</v>
      </c>
      <c r="E15" s="8" cm="1">
        <f t="array" ref="E15">SUM(J15:U15*J$17:U$17)</f>
        <v>228.75</v>
      </c>
      <c r="F15" s="11">
        <f t="shared" si="0"/>
        <v>40</v>
      </c>
      <c r="J15" s="17">
        <f t="shared" si="2"/>
        <v>0</v>
      </c>
      <c r="K15" s="26">
        <v>2.25</v>
      </c>
      <c r="L15" s="18">
        <f t="shared" si="2"/>
        <v>2</v>
      </c>
      <c r="M15" s="24">
        <v>2.5</v>
      </c>
      <c r="N15" s="18">
        <f t="shared" si="2"/>
        <v>0</v>
      </c>
      <c r="O15" s="18">
        <f t="shared" si="2"/>
        <v>0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7</v>
      </c>
      <c r="T15" s="18">
        <f t="shared" si="2"/>
        <v>3</v>
      </c>
      <c r="U15" s="19">
        <f t="shared" si="2"/>
        <v>6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1BF7-C109-4A9D-AA1A-5172B8D3F502}">
  <dimension ref="A1:U17"/>
  <sheetViews>
    <sheetView workbookViewId="0">
      <selection activeCell="I15" sqref="I15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285</v>
      </c>
      <c r="F2">
        <v>35</v>
      </c>
      <c r="G2">
        <v>611</v>
      </c>
      <c r="H2">
        <v>91.12</v>
      </c>
      <c r="I2">
        <v>1867.370369</v>
      </c>
      <c r="J2">
        <v>0</v>
      </c>
      <c r="K2">
        <v>3</v>
      </c>
      <c r="L2">
        <v>5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345</v>
      </c>
      <c r="F3">
        <v>28</v>
      </c>
      <c r="G3">
        <v>626</v>
      </c>
      <c r="H3">
        <v>89.92</v>
      </c>
      <c r="I3">
        <v>1754.2956839999999</v>
      </c>
      <c r="J3">
        <v>1</v>
      </c>
      <c r="K3">
        <v>8</v>
      </c>
      <c r="L3">
        <v>4.5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590</v>
      </c>
      <c r="F4">
        <v>16</v>
      </c>
      <c r="G4">
        <v>774</v>
      </c>
      <c r="H4">
        <v>78.08</v>
      </c>
      <c r="I4">
        <v>1793.3313900000001</v>
      </c>
      <c r="J4">
        <v>4.5</v>
      </c>
      <c r="K4">
        <v>8</v>
      </c>
      <c r="L4">
        <v>4.5</v>
      </c>
      <c r="M4">
        <v>0</v>
      </c>
      <c r="N4">
        <v>0</v>
      </c>
      <c r="O4">
        <v>0</v>
      </c>
      <c r="P4">
        <v>1.5</v>
      </c>
      <c r="Q4">
        <v>0</v>
      </c>
      <c r="R4">
        <v>0</v>
      </c>
      <c r="S4">
        <v>0</v>
      </c>
      <c r="T4">
        <v>3</v>
      </c>
      <c r="U4">
        <v>17</v>
      </c>
    </row>
    <row r="5" spans="1:21" x14ac:dyDescent="0.3">
      <c r="A5">
        <v>4</v>
      </c>
      <c r="B5">
        <v>1</v>
      </c>
      <c r="C5">
        <v>6</v>
      </c>
      <c r="D5">
        <v>300</v>
      </c>
      <c r="E5">
        <v>332.5</v>
      </c>
      <c r="F5">
        <v>30</v>
      </c>
      <c r="G5">
        <v>548</v>
      </c>
      <c r="H5">
        <v>96.16</v>
      </c>
      <c r="I5">
        <v>1315.9192539999999</v>
      </c>
      <c r="J5">
        <v>1.5</v>
      </c>
      <c r="K5">
        <v>3.5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4</v>
      </c>
      <c r="U5">
        <v>9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247.5</v>
      </c>
      <c r="F6">
        <v>40</v>
      </c>
      <c r="G6">
        <v>587</v>
      </c>
      <c r="H6">
        <v>93.04</v>
      </c>
      <c r="I6">
        <v>1059.4266909999999</v>
      </c>
      <c r="J6">
        <v>1</v>
      </c>
      <c r="K6">
        <v>3.5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4</v>
      </c>
      <c r="U6">
        <v>5</v>
      </c>
    </row>
    <row r="7" spans="1:21" x14ac:dyDescent="0.3">
      <c r="A7">
        <v>6</v>
      </c>
      <c r="B7">
        <v>1</v>
      </c>
      <c r="C7">
        <v>4</v>
      </c>
      <c r="D7">
        <v>200</v>
      </c>
      <c r="E7">
        <v>227.5</v>
      </c>
      <c r="F7">
        <v>40</v>
      </c>
      <c r="G7">
        <v>623</v>
      </c>
      <c r="H7">
        <v>90.16</v>
      </c>
      <c r="I7">
        <v>953.32263699999999</v>
      </c>
      <c r="J7">
        <v>1</v>
      </c>
      <c r="K7">
        <v>3.5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4</v>
      </c>
      <c r="U7">
        <v>4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9">
        <v>4</v>
      </c>
      <c r="E10" s="10" cm="1">
        <f t="array" ref="E10">SUM(J10:U10*J$17:U$17)</f>
        <v>330</v>
      </c>
      <c r="F10" s="10">
        <f t="shared" ref="F10:F15" si="0">MIN(FLOOR(10000/E10,1),40)</f>
        <v>30</v>
      </c>
      <c r="J10" s="22">
        <v>6</v>
      </c>
      <c r="K10" s="29">
        <v>0</v>
      </c>
      <c r="L10" s="13">
        <f t="shared" ref="L10:U10" si="1">L2</f>
        <v>5</v>
      </c>
      <c r="M10" s="13">
        <f t="shared" si="1"/>
        <v>0</v>
      </c>
      <c r="N10" s="13">
        <f t="shared" si="1"/>
        <v>0</v>
      </c>
      <c r="O10" s="13">
        <f t="shared" si="1"/>
        <v>1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13">
        <f t="shared" si="1"/>
        <v>0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30</v>
      </c>
      <c r="E11" s="11" cm="1">
        <f t="array" ref="E11">SUM(J11:U11*J$17:U$17)</f>
        <v>345</v>
      </c>
      <c r="F11" s="11">
        <f t="shared" si="0"/>
        <v>28</v>
      </c>
      <c r="J11" s="15">
        <f t="shared" ref="J11:U15" si="2">J3</f>
        <v>1</v>
      </c>
      <c r="K11">
        <f t="shared" si="2"/>
        <v>8</v>
      </c>
      <c r="L11">
        <f t="shared" si="2"/>
        <v>4.5</v>
      </c>
      <c r="M11">
        <f t="shared" si="2"/>
        <v>0</v>
      </c>
      <c r="N11">
        <f t="shared" si="2"/>
        <v>0</v>
      </c>
      <c r="O11">
        <f t="shared" si="2"/>
        <v>1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3</v>
      </c>
      <c r="U11" s="16">
        <f t="shared" si="2"/>
        <v>9</v>
      </c>
    </row>
    <row r="12" spans="1:21" x14ac:dyDescent="0.3">
      <c r="A12">
        <v>3</v>
      </c>
      <c r="C12" s="20">
        <v>33</v>
      </c>
      <c r="E12" s="11" cm="1">
        <f t="array" ref="E12">SUM(J12:U12*J$17:U$17)</f>
        <v>590</v>
      </c>
      <c r="F12" s="11">
        <f t="shared" si="0"/>
        <v>16</v>
      </c>
      <c r="J12" s="15">
        <f t="shared" si="2"/>
        <v>4.5</v>
      </c>
      <c r="K12">
        <f t="shared" si="2"/>
        <v>8</v>
      </c>
      <c r="L12">
        <f t="shared" si="2"/>
        <v>4.5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1.5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3</v>
      </c>
      <c r="U12" s="16">
        <f t="shared" si="2"/>
        <v>17</v>
      </c>
    </row>
    <row r="13" spans="1:21" x14ac:dyDescent="0.3">
      <c r="A13">
        <v>4</v>
      </c>
      <c r="C13" s="20">
        <v>13</v>
      </c>
      <c r="E13" s="11" cm="1">
        <f t="array" ref="E13">SUM(J13:U13*J$17:U$17)</f>
        <v>332.5</v>
      </c>
      <c r="F13" s="11">
        <f t="shared" si="0"/>
        <v>30</v>
      </c>
      <c r="J13" s="15">
        <f t="shared" si="2"/>
        <v>1.5</v>
      </c>
      <c r="K13">
        <f t="shared" si="2"/>
        <v>3.5</v>
      </c>
      <c r="L13">
        <f t="shared" si="2"/>
        <v>2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1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4</v>
      </c>
      <c r="U13" s="16">
        <f t="shared" si="2"/>
        <v>9</v>
      </c>
    </row>
    <row r="14" spans="1:21" x14ac:dyDescent="0.3">
      <c r="A14">
        <v>5</v>
      </c>
      <c r="C14" s="20">
        <v>7</v>
      </c>
      <c r="E14" s="11" cm="1">
        <f t="array" ref="E14">SUM(J14:U14*J$17:U$17)</f>
        <v>247.5</v>
      </c>
      <c r="F14" s="11">
        <f t="shared" si="0"/>
        <v>40</v>
      </c>
      <c r="J14" s="15">
        <f t="shared" si="2"/>
        <v>1</v>
      </c>
      <c r="K14">
        <f t="shared" si="2"/>
        <v>3.5</v>
      </c>
      <c r="L14">
        <f t="shared" si="2"/>
        <v>2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1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4</v>
      </c>
      <c r="U14" s="16">
        <f t="shared" si="2"/>
        <v>5</v>
      </c>
    </row>
    <row r="15" spans="1:21" ht="15" thickBot="1" x14ac:dyDescent="0.35">
      <c r="A15">
        <v>6</v>
      </c>
      <c r="C15" s="21">
        <v>7</v>
      </c>
      <c r="E15" s="11" cm="1">
        <f t="array" ref="E15">SUM(J15:U15*J$17:U$17)</f>
        <v>227.5</v>
      </c>
      <c r="F15" s="11">
        <f t="shared" si="0"/>
        <v>40</v>
      </c>
      <c r="J15" s="17">
        <f t="shared" si="2"/>
        <v>1</v>
      </c>
      <c r="K15" s="18">
        <f t="shared" si="2"/>
        <v>3.5</v>
      </c>
      <c r="L15" s="18">
        <f t="shared" si="2"/>
        <v>2</v>
      </c>
      <c r="M15" s="18">
        <f t="shared" si="2"/>
        <v>0</v>
      </c>
      <c r="N15" s="18">
        <f t="shared" si="2"/>
        <v>0</v>
      </c>
      <c r="O15" s="18">
        <f t="shared" si="2"/>
        <v>0</v>
      </c>
      <c r="P15" s="18">
        <f t="shared" si="2"/>
        <v>1</v>
      </c>
      <c r="Q15" s="18">
        <f t="shared" si="2"/>
        <v>0</v>
      </c>
      <c r="R15" s="18">
        <f t="shared" si="2"/>
        <v>0</v>
      </c>
      <c r="S15" s="18">
        <f t="shared" si="2"/>
        <v>0</v>
      </c>
      <c r="T15" s="18">
        <f t="shared" si="2"/>
        <v>4</v>
      </c>
      <c r="U15" s="19">
        <f t="shared" si="2"/>
        <v>4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0E20-9510-44E5-9DEE-FDD407582096}">
  <dimension ref="A1:U17"/>
  <sheetViews>
    <sheetView topLeftCell="B1" workbookViewId="0">
      <selection activeCell="L26" sqref="L26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720</v>
      </c>
      <c r="F2">
        <v>13</v>
      </c>
      <c r="G2">
        <v>966</v>
      </c>
      <c r="H2">
        <v>62.72</v>
      </c>
      <c r="I2">
        <v>2198.0354910000001</v>
      </c>
      <c r="J2">
        <v>0</v>
      </c>
      <c r="K2">
        <v>5</v>
      </c>
      <c r="L2">
        <v>5</v>
      </c>
      <c r="M2">
        <v>3</v>
      </c>
      <c r="N2">
        <v>9</v>
      </c>
      <c r="O2">
        <v>0</v>
      </c>
      <c r="P2">
        <v>0</v>
      </c>
      <c r="Q2">
        <v>0</v>
      </c>
      <c r="R2">
        <v>0</v>
      </c>
      <c r="S2">
        <v>0</v>
      </c>
      <c r="T2">
        <v>40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320</v>
      </c>
      <c r="F3">
        <v>31</v>
      </c>
      <c r="G3">
        <v>547</v>
      </c>
      <c r="H3">
        <v>96.240000000000009</v>
      </c>
      <c r="I3">
        <v>979.39924799999994</v>
      </c>
      <c r="J3">
        <v>0</v>
      </c>
      <c r="K3">
        <v>0</v>
      </c>
      <c r="L3">
        <v>0</v>
      </c>
      <c r="M3">
        <v>0</v>
      </c>
      <c r="N3">
        <v>0</v>
      </c>
      <c r="O3">
        <v>1.5</v>
      </c>
      <c r="P3">
        <v>0</v>
      </c>
      <c r="Q3">
        <v>0</v>
      </c>
      <c r="R3">
        <v>1</v>
      </c>
      <c r="S3">
        <v>0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550</v>
      </c>
      <c r="F4">
        <v>18</v>
      </c>
      <c r="G4">
        <v>722</v>
      </c>
      <c r="H4">
        <v>82.240000000000009</v>
      </c>
      <c r="I4">
        <v>1482.7954159999999</v>
      </c>
      <c r="J4">
        <v>4</v>
      </c>
      <c r="K4">
        <v>0</v>
      </c>
      <c r="L4">
        <v>4</v>
      </c>
      <c r="M4">
        <v>0</v>
      </c>
      <c r="N4">
        <v>0</v>
      </c>
      <c r="O4">
        <v>2</v>
      </c>
      <c r="P4">
        <v>0</v>
      </c>
      <c r="Q4">
        <v>1</v>
      </c>
      <c r="R4">
        <v>0</v>
      </c>
      <c r="S4">
        <v>0</v>
      </c>
      <c r="T4">
        <v>3</v>
      </c>
      <c r="U4">
        <v>17</v>
      </c>
    </row>
    <row r="5" spans="1:21" x14ac:dyDescent="0.3">
      <c r="A5">
        <v>4</v>
      </c>
      <c r="B5">
        <v>1</v>
      </c>
      <c r="C5">
        <v>7</v>
      </c>
      <c r="D5">
        <v>200</v>
      </c>
      <c r="E5">
        <v>300</v>
      </c>
      <c r="F5">
        <v>33</v>
      </c>
      <c r="G5">
        <v>641</v>
      </c>
      <c r="H5">
        <v>88.72</v>
      </c>
      <c r="I5">
        <v>763.31305999999995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1</v>
      </c>
      <c r="S5">
        <v>0</v>
      </c>
      <c r="T5">
        <v>3</v>
      </c>
      <c r="U5">
        <v>7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160</v>
      </c>
      <c r="F6">
        <v>40</v>
      </c>
      <c r="G6">
        <v>587</v>
      </c>
      <c r="H6">
        <v>93.04</v>
      </c>
      <c r="I6">
        <v>606.37483399999996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</v>
      </c>
      <c r="T6">
        <v>3</v>
      </c>
      <c r="U6">
        <v>5</v>
      </c>
    </row>
    <row r="7" spans="1:21" x14ac:dyDescent="0.3">
      <c r="A7">
        <v>6</v>
      </c>
      <c r="B7">
        <v>1</v>
      </c>
      <c r="C7">
        <v>4</v>
      </c>
      <c r="D7">
        <v>200</v>
      </c>
      <c r="E7">
        <v>210</v>
      </c>
      <c r="F7">
        <v>40</v>
      </c>
      <c r="G7">
        <v>623</v>
      </c>
      <c r="H7">
        <v>90.16</v>
      </c>
      <c r="I7">
        <v>660.41606000000002</v>
      </c>
      <c r="J7">
        <v>0</v>
      </c>
      <c r="K7">
        <v>0</v>
      </c>
      <c r="L7">
        <v>0</v>
      </c>
      <c r="M7">
        <v>0</v>
      </c>
      <c r="N7">
        <v>0</v>
      </c>
      <c r="O7">
        <v>1.25</v>
      </c>
      <c r="P7">
        <v>0</v>
      </c>
      <c r="Q7">
        <v>0</v>
      </c>
      <c r="R7">
        <v>1</v>
      </c>
      <c r="S7">
        <v>0</v>
      </c>
      <c r="T7">
        <v>3</v>
      </c>
      <c r="U7">
        <v>4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5</v>
      </c>
      <c r="E10" s="8" cm="1">
        <f t="array" ref="E10">SUM(J10:U10*J$17:U$17)</f>
        <v>365</v>
      </c>
      <c r="F10" s="8">
        <f t="shared" ref="F10:F15" si="0">MIN(FLOOR(10000/E10,1),40)</f>
        <v>27</v>
      </c>
      <c r="J10" s="12">
        <f>J2</f>
        <v>0</v>
      </c>
      <c r="K10" s="29">
        <v>4</v>
      </c>
      <c r="L10" s="25">
        <v>6</v>
      </c>
      <c r="M10" s="13">
        <f t="shared" ref="M10:U10" si="1">M2</f>
        <v>3</v>
      </c>
      <c r="N10" s="13">
        <f t="shared" si="1"/>
        <v>9</v>
      </c>
      <c r="O10" s="13">
        <f t="shared" si="1"/>
        <v>0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13">
        <f t="shared" si="1"/>
        <v>0</v>
      </c>
      <c r="T10" s="29">
        <v>4</v>
      </c>
      <c r="U10" s="14">
        <f t="shared" si="1"/>
        <v>7</v>
      </c>
    </row>
    <row r="11" spans="1:21" x14ac:dyDescent="0.3">
      <c r="A11">
        <v>2</v>
      </c>
      <c r="C11" s="20">
        <v>9</v>
      </c>
      <c r="E11" s="11" cm="1">
        <f t="array" ref="E11">SUM(J11:U11*J$17:U$17)</f>
        <v>320</v>
      </c>
      <c r="F11" s="11">
        <f t="shared" si="0"/>
        <v>31</v>
      </c>
      <c r="J11" s="15">
        <f t="shared" ref="J11:U15" si="2">J3</f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1.5</v>
      </c>
      <c r="P11">
        <f t="shared" si="2"/>
        <v>0</v>
      </c>
      <c r="Q11">
        <f t="shared" si="2"/>
        <v>0</v>
      </c>
      <c r="R11">
        <f t="shared" si="2"/>
        <v>1</v>
      </c>
      <c r="S11">
        <f t="shared" si="2"/>
        <v>0</v>
      </c>
      <c r="T11">
        <f t="shared" si="2"/>
        <v>3</v>
      </c>
      <c r="U11" s="16">
        <f t="shared" si="2"/>
        <v>9</v>
      </c>
    </row>
    <row r="12" spans="1:21" x14ac:dyDescent="0.3">
      <c r="A12">
        <v>3</v>
      </c>
      <c r="C12" s="20">
        <v>12</v>
      </c>
      <c r="E12" s="11" cm="1">
        <f t="array" ref="E12">SUM(J12:U12*J$17:U$17)</f>
        <v>550</v>
      </c>
      <c r="F12" s="11">
        <f t="shared" si="0"/>
        <v>18</v>
      </c>
      <c r="J12" s="15">
        <f t="shared" si="2"/>
        <v>4</v>
      </c>
      <c r="K12">
        <f t="shared" si="2"/>
        <v>0</v>
      </c>
      <c r="L12">
        <f t="shared" si="2"/>
        <v>4</v>
      </c>
      <c r="M12">
        <f t="shared" si="2"/>
        <v>0</v>
      </c>
      <c r="N12">
        <f t="shared" si="2"/>
        <v>0</v>
      </c>
      <c r="O12">
        <f t="shared" si="2"/>
        <v>2</v>
      </c>
      <c r="P12">
        <f t="shared" si="2"/>
        <v>0</v>
      </c>
      <c r="Q12">
        <f t="shared" si="2"/>
        <v>1</v>
      </c>
      <c r="R12">
        <f t="shared" si="2"/>
        <v>0</v>
      </c>
      <c r="S12">
        <f t="shared" si="2"/>
        <v>0</v>
      </c>
      <c r="T12">
        <f t="shared" si="2"/>
        <v>3</v>
      </c>
      <c r="U12" s="16">
        <f t="shared" si="2"/>
        <v>17</v>
      </c>
    </row>
    <row r="13" spans="1:21" x14ac:dyDescent="0.3">
      <c r="A13">
        <v>4</v>
      </c>
      <c r="C13" s="20">
        <v>12</v>
      </c>
      <c r="E13" s="11" cm="1">
        <f t="array" ref="E13">SUM(J13:U13*J$17:U$17)</f>
        <v>300</v>
      </c>
      <c r="F13" s="11">
        <f t="shared" si="0"/>
        <v>33</v>
      </c>
      <c r="J13" s="15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2</v>
      </c>
      <c r="P13">
        <f t="shared" si="2"/>
        <v>0</v>
      </c>
      <c r="Q13">
        <f t="shared" si="2"/>
        <v>0</v>
      </c>
      <c r="R13">
        <f t="shared" si="2"/>
        <v>1</v>
      </c>
      <c r="S13">
        <f t="shared" si="2"/>
        <v>0</v>
      </c>
      <c r="T13">
        <f t="shared" si="2"/>
        <v>3</v>
      </c>
      <c r="U13" s="16">
        <f t="shared" si="2"/>
        <v>7</v>
      </c>
    </row>
    <row r="14" spans="1:21" x14ac:dyDescent="0.3">
      <c r="A14">
        <v>5</v>
      </c>
      <c r="C14" s="9">
        <v>4</v>
      </c>
      <c r="E14" s="10" cm="1">
        <f t="array" ref="E14">SUM(J14:U14*J$17:U$17)</f>
        <v>164.375</v>
      </c>
      <c r="F14" s="11">
        <f t="shared" si="0"/>
        <v>40</v>
      </c>
      <c r="J14" s="15">
        <f t="shared" si="2"/>
        <v>0</v>
      </c>
      <c r="K14">
        <f t="shared" si="2"/>
        <v>0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 s="10">
        <f>2.5*2.75</f>
        <v>6.875</v>
      </c>
      <c r="T14">
        <f t="shared" si="2"/>
        <v>3</v>
      </c>
      <c r="U14" s="16">
        <f t="shared" si="2"/>
        <v>5</v>
      </c>
    </row>
    <row r="15" spans="1:21" ht="15" thickBot="1" x14ac:dyDescent="0.35">
      <c r="A15">
        <v>6</v>
      </c>
      <c r="C15" s="21">
        <v>6</v>
      </c>
      <c r="E15" s="11" cm="1">
        <f t="array" ref="E15">SUM(J15:U15*J$17:U$17)</f>
        <v>210</v>
      </c>
      <c r="F15" s="11">
        <f t="shared" si="0"/>
        <v>40</v>
      </c>
      <c r="J15" s="17">
        <f t="shared" si="2"/>
        <v>0</v>
      </c>
      <c r="K15" s="18">
        <f t="shared" si="2"/>
        <v>0</v>
      </c>
      <c r="L15" s="18">
        <f t="shared" si="2"/>
        <v>0</v>
      </c>
      <c r="M15" s="18">
        <f t="shared" si="2"/>
        <v>0</v>
      </c>
      <c r="N15" s="18">
        <f t="shared" si="2"/>
        <v>0</v>
      </c>
      <c r="O15" s="18">
        <f t="shared" si="2"/>
        <v>1.25</v>
      </c>
      <c r="P15" s="18">
        <f t="shared" si="2"/>
        <v>0</v>
      </c>
      <c r="Q15" s="18">
        <f t="shared" si="2"/>
        <v>0</v>
      </c>
      <c r="R15" s="18">
        <f t="shared" si="2"/>
        <v>1</v>
      </c>
      <c r="S15" s="18">
        <f t="shared" si="2"/>
        <v>0</v>
      </c>
      <c r="T15" s="18">
        <f t="shared" si="2"/>
        <v>3</v>
      </c>
      <c r="U15" s="19">
        <f t="shared" si="2"/>
        <v>4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A460-2776-4069-98C9-AD91848B8DBC}">
  <dimension ref="A1:U17"/>
  <sheetViews>
    <sheetView topLeftCell="D4" workbookViewId="0">
      <selection activeCell="H20" sqref="H20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370</v>
      </c>
      <c r="F2">
        <v>27</v>
      </c>
      <c r="G2">
        <v>596</v>
      </c>
      <c r="H2">
        <v>92.320000000000007</v>
      </c>
      <c r="I2">
        <v>2037.5902430000001</v>
      </c>
      <c r="J2">
        <v>0</v>
      </c>
      <c r="K2">
        <v>20</v>
      </c>
      <c r="L2">
        <v>6</v>
      </c>
      <c r="M2">
        <v>2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435</v>
      </c>
      <c r="F3">
        <v>22</v>
      </c>
      <c r="G3">
        <v>676</v>
      </c>
      <c r="H3">
        <v>85.92</v>
      </c>
      <c r="I3">
        <v>1114.0066609999999</v>
      </c>
      <c r="J3">
        <v>0</v>
      </c>
      <c r="K3">
        <v>12</v>
      </c>
      <c r="L3">
        <v>6</v>
      </c>
      <c r="M3">
        <v>3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620</v>
      </c>
      <c r="F4">
        <v>16</v>
      </c>
      <c r="G4">
        <v>774</v>
      </c>
      <c r="H4">
        <v>78.08</v>
      </c>
      <c r="I4">
        <v>1056.195545</v>
      </c>
      <c r="J4">
        <v>0</v>
      </c>
      <c r="K4">
        <v>12</v>
      </c>
      <c r="L4">
        <v>6</v>
      </c>
      <c r="M4">
        <v>4</v>
      </c>
      <c r="N4">
        <v>0</v>
      </c>
      <c r="O4">
        <v>2</v>
      </c>
      <c r="P4">
        <v>0</v>
      </c>
      <c r="Q4">
        <v>1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4</v>
      </c>
      <c r="D5">
        <v>300</v>
      </c>
      <c r="E5">
        <v>220</v>
      </c>
      <c r="F5">
        <v>40</v>
      </c>
      <c r="G5">
        <v>610</v>
      </c>
      <c r="H5">
        <v>91.2</v>
      </c>
      <c r="I5">
        <v>806.08134299999995</v>
      </c>
      <c r="J5">
        <v>0</v>
      </c>
      <c r="K5">
        <v>8</v>
      </c>
      <c r="L5">
        <v>2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6</v>
      </c>
    </row>
    <row r="6" spans="1:21" x14ac:dyDescent="0.3">
      <c r="A6">
        <v>5</v>
      </c>
      <c r="B6">
        <v>1</v>
      </c>
      <c r="C6">
        <v>4</v>
      </c>
      <c r="D6">
        <v>200</v>
      </c>
      <c r="E6">
        <v>215</v>
      </c>
      <c r="F6">
        <v>40</v>
      </c>
      <c r="G6">
        <v>623</v>
      </c>
      <c r="H6">
        <v>90.16</v>
      </c>
      <c r="I6">
        <v>1188.0725930000001</v>
      </c>
      <c r="J6">
        <v>0</v>
      </c>
      <c r="K6">
        <v>6</v>
      </c>
      <c r="L6">
        <v>2</v>
      </c>
      <c r="M6">
        <v>2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3</v>
      </c>
      <c r="U6">
        <v>4</v>
      </c>
    </row>
    <row r="7" spans="1:21" x14ac:dyDescent="0.3">
      <c r="A7">
        <v>6</v>
      </c>
      <c r="B7">
        <v>1</v>
      </c>
      <c r="C7">
        <v>5</v>
      </c>
      <c r="D7">
        <v>320</v>
      </c>
      <c r="E7">
        <v>315</v>
      </c>
      <c r="F7">
        <v>31</v>
      </c>
      <c r="G7">
        <v>572</v>
      </c>
      <c r="H7">
        <v>94.24</v>
      </c>
      <c r="I7">
        <v>476.071482</v>
      </c>
      <c r="J7">
        <v>0</v>
      </c>
      <c r="K7">
        <v>8</v>
      </c>
      <c r="L7">
        <v>3</v>
      </c>
      <c r="M7">
        <v>3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3</v>
      </c>
      <c r="U7">
        <v>8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9">
        <v>4</v>
      </c>
      <c r="E10" s="10" cm="1">
        <f t="array" ref="E10">SUM(J10:U10*J$17:U$17)</f>
        <v>357.5</v>
      </c>
      <c r="F10" s="11">
        <f t="shared" ref="F10:F15" si="0">MIN(FLOOR(10000/E10,1),40)</f>
        <v>27</v>
      </c>
      <c r="J10" s="12">
        <f>J2</f>
        <v>0</v>
      </c>
      <c r="K10" s="29">
        <v>18.5</v>
      </c>
      <c r="L10" s="25">
        <v>6.5</v>
      </c>
      <c r="M10" s="13">
        <f t="shared" ref="M10:U10" si="1">M2</f>
        <v>2</v>
      </c>
      <c r="N10" s="13">
        <f t="shared" si="1"/>
        <v>0</v>
      </c>
      <c r="O10" s="13">
        <f t="shared" si="1"/>
        <v>0</v>
      </c>
      <c r="P10" s="13">
        <f t="shared" si="1"/>
        <v>0</v>
      </c>
      <c r="Q10" s="29">
        <v>0.5</v>
      </c>
      <c r="R10" s="13">
        <f t="shared" si="1"/>
        <v>0</v>
      </c>
      <c r="S10" s="13">
        <f t="shared" si="1"/>
        <v>0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9">
        <v>8</v>
      </c>
      <c r="E11" s="10" cm="1">
        <f t="array" ref="E11">SUM(J11:U11*J$17:U$17)</f>
        <v>465</v>
      </c>
      <c r="F11" s="10">
        <f t="shared" si="0"/>
        <v>21</v>
      </c>
      <c r="J11" s="15">
        <f t="shared" ref="J11:U15" si="2">J3</f>
        <v>0</v>
      </c>
      <c r="K11" s="10">
        <v>14</v>
      </c>
      <c r="L11" s="10">
        <v>7</v>
      </c>
      <c r="M11">
        <f t="shared" si="2"/>
        <v>3</v>
      </c>
      <c r="N11">
        <f t="shared" si="2"/>
        <v>0</v>
      </c>
      <c r="O11" s="8">
        <v>0</v>
      </c>
      <c r="P11" s="10">
        <v>1.5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9">
        <v>12</v>
      </c>
      <c r="E12" s="11" cm="1">
        <f t="array" ref="E12">SUM(J12:U12*J$17:U$17)</f>
        <v>620</v>
      </c>
      <c r="F12" s="11">
        <f t="shared" si="0"/>
        <v>16</v>
      </c>
      <c r="J12" s="15">
        <f t="shared" si="2"/>
        <v>0</v>
      </c>
      <c r="K12" s="8">
        <v>11</v>
      </c>
      <c r="L12" s="10">
        <v>7</v>
      </c>
      <c r="M12" s="10">
        <v>7</v>
      </c>
      <c r="N12">
        <f t="shared" si="2"/>
        <v>0</v>
      </c>
      <c r="O12" s="8">
        <v>1.75</v>
      </c>
      <c r="P12">
        <f t="shared" si="2"/>
        <v>0</v>
      </c>
      <c r="Q12" s="8">
        <v>0.5</v>
      </c>
      <c r="R12">
        <f t="shared" si="2"/>
        <v>0</v>
      </c>
      <c r="S12">
        <f t="shared" si="2"/>
        <v>0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6</v>
      </c>
      <c r="E13" s="10" cm="1">
        <f t="array" ref="E13">SUM(J13:U13*J$17:U$17)</f>
        <v>275</v>
      </c>
      <c r="F13" s="10">
        <f t="shared" si="0"/>
        <v>36</v>
      </c>
      <c r="J13" s="15">
        <f t="shared" si="2"/>
        <v>0</v>
      </c>
      <c r="K13" s="10">
        <v>9</v>
      </c>
      <c r="L13" s="10">
        <v>3</v>
      </c>
      <c r="M13">
        <f t="shared" si="2"/>
        <v>2</v>
      </c>
      <c r="N13">
        <f t="shared" si="2"/>
        <v>0</v>
      </c>
      <c r="O13" s="10">
        <v>1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3</v>
      </c>
      <c r="U13" s="16">
        <f t="shared" si="2"/>
        <v>6</v>
      </c>
    </row>
    <row r="14" spans="1:21" x14ac:dyDescent="0.3">
      <c r="A14">
        <v>5</v>
      </c>
      <c r="C14" s="9">
        <v>4</v>
      </c>
      <c r="E14" s="8" cm="1">
        <f t="array" ref="E14">SUM(J14:U14*J$17:U$17)</f>
        <v>190</v>
      </c>
      <c r="F14" s="11">
        <f t="shared" si="0"/>
        <v>40</v>
      </c>
      <c r="J14" s="15">
        <f t="shared" si="2"/>
        <v>0</v>
      </c>
      <c r="K14">
        <f t="shared" si="2"/>
        <v>6</v>
      </c>
      <c r="L14" s="8">
        <v>1.75</v>
      </c>
      <c r="M14" s="8">
        <v>1.5</v>
      </c>
      <c r="N14">
        <f t="shared" si="2"/>
        <v>0</v>
      </c>
      <c r="O14" s="8">
        <v>0.5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1</v>
      </c>
      <c r="T14">
        <f t="shared" si="2"/>
        <v>3</v>
      </c>
      <c r="U14" s="16">
        <f t="shared" si="2"/>
        <v>4</v>
      </c>
    </row>
    <row r="15" spans="1:21" ht="15" thickBot="1" x14ac:dyDescent="0.35">
      <c r="A15">
        <v>6</v>
      </c>
      <c r="C15" s="21">
        <v>6</v>
      </c>
      <c r="E15" s="10" cm="1">
        <f t="array" ref="E15">SUM(J15:U15*J$17:U$17)</f>
        <v>340</v>
      </c>
      <c r="F15" s="10">
        <f t="shared" si="0"/>
        <v>29</v>
      </c>
      <c r="J15" s="17">
        <f t="shared" si="2"/>
        <v>0</v>
      </c>
      <c r="K15" s="26">
        <v>11</v>
      </c>
      <c r="L15" s="18">
        <f t="shared" si="2"/>
        <v>3</v>
      </c>
      <c r="M15" s="18">
        <f t="shared" si="2"/>
        <v>3</v>
      </c>
      <c r="N15" s="18">
        <f t="shared" si="2"/>
        <v>0</v>
      </c>
      <c r="O15" s="26">
        <v>1.25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0</v>
      </c>
      <c r="T15" s="18">
        <f t="shared" si="2"/>
        <v>3</v>
      </c>
      <c r="U15" s="19">
        <f t="shared" si="2"/>
        <v>8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AFAC-C22F-4760-991A-16257849C963}">
  <dimension ref="A1:U17"/>
  <sheetViews>
    <sheetView zoomScale="85" zoomScaleNormal="85" workbookViewId="0">
      <selection activeCell="K24" sqref="K24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330</v>
      </c>
      <c r="F2">
        <v>30</v>
      </c>
      <c r="G2">
        <v>582</v>
      </c>
      <c r="H2">
        <v>93.44</v>
      </c>
      <c r="I2">
        <v>2164.5781200000001</v>
      </c>
      <c r="J2">
        <v>5</v>
      </c>
      <c r="K2">
        <v>0</v>
      </c>
      <c r="L2">
        <v>4</v>
      </c>
      <c r="M2">
        <v>0</v>
      </c>
      <c r="N2">
        <v>0</v>
      </c>
      <c r="O2">
        <v>1.5</v>
      </c>
      <c r="P2">
        <v>0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470</v>
      </c>
      <c r="F3">
        <v>21</v>
      </c>
      <c r="G3">
        <v>719</v>
      </c>
      <c r="H3">
        <v>82.48</v>
      </c>
      <c r="I3">
        <v>1250.655205</v>
      </c>
      <c r="J3">
        <v>9</v>
      </c>
      <c r="K3">
        <v>0</v>
      </c>
      <c r="L3">
        <v>4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680</v>
      </c>
      <c r="F4">
        <v>14</v>
      </c>
      <c r="G4">
        <v>837</v>
      </c>
      <c r="H4">
        <v>73.039999999999992</v>
      </c>
      <c r="I4">
        <v>1329.429805</v>
      </c>
      <c r="J4">
        <v>10</v>
      </c>
      <c r="K4">
        <v>0</v>
      </c>
      <c r="L4">
        <v>4</v>
      </c>
      <c r="M4">
        <v>0</v>
      </c>
      <c r="N4">
        <v>0</v>
      </c>
      <c r="O4">
        <v>4</v>
      </c>
      <c r="P4">
        <v>0</v>
      </c>
      <c r="Q4">
        <v>0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4</v>
      </c>
      <c r="D5">
        <v>200</v>
      </c>
      <c r="E5">
        <v>235</v>
      </c>
      <c r="F5">
        <v>40</v>
      </c>
      <c r="G5">
        <v>623</v>
      </c>
      <c r="H5">
        <v>90.16</v>
      </c>
      <c r="I5">
        <v>135.35584900000001</v>
      </c>
      <c r="J5">
        <v>5</v>
      </c>
      <c r="K5">
        <v>0</v>
      </c>
      <c r="L5">
        <v>3.5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3</v>
      </c>
      <c r="U5">
        <v>4</v>
      </c>
    </row>
    <row r="6" spans="1:21" x14ac:dyDescent="0.3">
      <c r="A6">
        <v>5</v>
      </c>
      <c r="B6">
        <v>1</v>
      </c>
      <c r="C6">
        <v>4</v>
      </c>
      <c r="D6">
        <v>300</v>
      </c>
      <c r="E6">
        <v>270</v>
      </c>
      <c r="F6">
        <v>37</v>
      </c>
      <c r="G6">
        <v>600</v>
      </c>
      <c r="H6">
        <v>92</v>
      </c>
      <c r="I6">
        <v>473.37531200000001</v>
      </c>
      <c r="J6">
        <v>5</v>
      </c>
      <c r="K6">
        <v>0</v>
      </c>
      <c r="L6">
        <v>3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3</v>
      </c>
      <c r="U6">
        <v>6</v>
      </c>
    </row>
    <row r="7" spans="1:21" x14ac:dyDescent="0.3">
      <c r="A7">
        <v>6</v>
      </c>
      <c r="B7">
        <v>1</v>
      </c>
      <c r="C7">
        <v>4</v>
      </c>
      <c r="D7">
        <v>250</v>
      </c>
      <c r="E7">
        <v>250</v>
      </c>
      <c r="F7">
        <v>40</v>
      </c>
      <c r="G7">
        <v>587</v>
      </c>
      <c r="H7">
        <v>93.04</v>
      </c>
      <c r="I7">
        <v>605.96704199999999</v>
      </c>
      <c r="J7">
        <v>3</v>
      </c>
      <c r="K7">
        <v>0</v>
      </c>
      <c r="L7">
        <v>4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4</v>
      </c>
      <c r="U7">
        <v>5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7</v>
      </c>
      <c r="E10" s="8" cm="1">
        <f t="array" ref="E10">SUM(J10:U10*J$17:U$17)</f>
        <v>320</v>
      </c>
      <c r="F10" s="8">
        <f t="shared" ref="F10:F15" si="0">MIN(FLOOR(10000/E10,1),40)</f>
        <v>31</v>
      </c>
      <c r="J10" s="12">
        <f>J2</f>
        <v>5</v>
      </c>
      <c r="K10" s="13">
        <f t="shared" ref="K10:U10" si="1">K2</f>
        <v>0</v>
      </c>
      <c r="L10" s="13">
        <f t="shared" si="1"/>
        <v>4</v>
      </c>
      <c r="M10" s="13">
        <f t="shared" si="1"/>
        <v>0</v>
      </c>
      <c r="N10" s="13">
        <f t="shared" si="1"/>
        <v>0</v>
      </c>
      <c r="O10" s="29">
        <v>1.25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13">
        <f t="shared" si="1"/>
        <v>0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14</v>
      </c>
      <c r="E11" s="8" cm="1">
        <f t="array" ref="E11">SUM(J11:U11*J$17:U$17)</f>
        <v>460</v>
      </c>
      <c r="F11" s="11">
        <f t="shared" si="0"/>
        <v>21</v>
      </c>
      <c r="J11" s="15">
        <f t="shared" ref="J11:U15" si="2">J3</f>
        <v>9</v>
      </c>
      <c r="K11">
        <f t="shared" si="2"/>
        <v>0</v>
      </c>
      <c r="L11">
        <f t="shared" si="2"/>
        <v>4</v>
      </c>
      <c r="M11">
        <f t="shared" si="2"/>
        <v>0</v>
      </c>
      <c r="N11">
        <f t="shared" si="2"/>
        <v>0</v>
      </c>
      <c r="O11" s="8">
        <v>2.75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20">
        <v>24</v>
      </c>
      <c r="E12" s="10" cm="1">
        <f t="array" ref="E12">SUM(J12:U12*J$17:U$17)</f>
        <v>685</v>
      </c>
      <c r="F12" s="11">
        <f t="shared" si="0"/>
        <v>14</v>
      </c>
      <c r="J12" s="23">
        <v>10.5</v>
      </c>
      <c r="K12">
        <f t="shared" si="2"/>
        <v>0</v>
      </c>
      <c r="L12">
        <f t="shared" si="2"/>
        <v>4</v>
      </c>
      <c r="M12">
        <f t="shared" si="2"/>
        <v>0</v>
      </c>
      <c r="N12">
        <f t="shared" si="2"/>
        <v>0</v>
      </c>
      <c r="O12">
        <f t="shared" si="2"/>
        <v>4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6</v>
      </c>
      <c r="E13" s="11" cm="1">
        <f t="array" ref="E13">SUM(J13:U13*J$17:U$17)</f>
        <v>235</v>
      </c>
      <c r="F13" s="11">
        <f t="shared" si="0"/>
        <v>40</v>
      </c>
      <c r="J13" s="15">
        <f t="shared" si="2"/>
        <v>5</v>
      </c>
      <c r="K13">
        <f t="shared" si="2"/>
        <v>0</v>
      </c>
      <c r="L13">
        <f t="shared" si="2"/>
        <v>3.5</v>
      </c>
      <c r="M13">
        <f t="shared" si="2"/>
        <v>0</v>
      </c>
      <c r="N13">
        <f t="shared" si="2"/>
        <v>0</v>
      </c>
      <c r="O13">
        <f t="shared" si="2"/>
        <v>1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3</v>
      </c>
      <c r="U13" s="16">
        <f t="shared" si="2"/>
        <v>4</v>
      </c>
    </row>
    <row r="14" spans="1:21" x14ac:dyDescent="0.3">
      <c r="A14">
        <v>5</v>
      </c>
      <c r="C14" s="20">
        <v>6</v>
      </c>
      <c r="E14" s="11" cm="1">
        <f t="array" ref="E14">SUM(J14:U14*J$17:U$17)</f>
        <v>270</v>
      </c>
      <c r="F14" s="11">
        <f t="shared" si="0"/>
        <v>37</v>
      </c>
      <c r="J14" s="15">
        <f t="shared" si="2"/>
        <v>5</v>
      </c>
      <c r="K14">
        <f t="shared" si="2"/>
        <v>0</v>
      </c>
      <c r="L14">
        <f t="shared" si="2"/>
        <v>3</v>
      </c>
      <c r="M14">
        <f t="shared" si="2"/>
        <v>0</v>
      </c>
      <c r="N14">
        <f t="shared" si="2"/>
        <v>0</v>
      </c>
      <c r="O14">
        <f t="shared" si="2"/>
        <v>1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3</v>
      </c>
      <c r="U14" s="16">
        <f t="shared" si="2"/>
        <v>6</v>
      </c>
    </row>
    <row r="15" spans="1:21" ht="15" thickBot="1" x14ac:dyDescent="0.35">
      <c r="A15">
        <v>6</v>
      </c>
      <c r="C15" s="21">
        <v>6</v>
      </c>
      <c r="E15" s="11" cm="1">
        <f t="array" ref="E15">SUM(J15:U15*J$17:U$17)</f>
        <v>250</v>
      </c>
      <c r="F15" s="11">
        <f t="shared" si="0"/>
        <v>40</v>
      </c>
      <c r="J15" s="17">
        <f t="shared" si="2"/>
        <v>3</v>
      </c>
      <c r="K15" s="18">
        <f t="shared" si="2"/>
        <v>0</v>
      </c>
      <c r="L15" s="18">
        <f t="shared" si="2"/>
        <v>4</v>
      </c>
      <c r="M15" s="18">
        <f t="shared" si="2"/>
        <v>0</v>
      </c>
      <c r="N15" s="18">
        <f t="shared" si="2"/>
        <v>0</v>
      </c>
      <c r="O15" s="18">
        <f t="shared" si="2"/>
        <v>1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0</v>
      </c>
      <c r="T15" s="18">
        <f t="shared" si="2"/>
        <v>4</v>
      </c>
      <c r="U15" s="19">
        <f t="shared" si="2"/>
        <v>5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853A-B9B4-43AC-92C4-D79ACE7CE3BA}">
  <dimension ref="A1:U17"/>
  <sheetViews>
    <sheetView zoomScale="85" zoomScaleNormal="85" workbookViewId="0">
      <selection activeCell="G18" sqref="G18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340</v>
      </c>
      <c r="F2">
        <v>29</v>
      </c>
      <c r="G2">
        <v>577</v>
      </c>
      <c r="H2">
        <v>93.84</v>
      </c>
      <c r="I2">
        <v>1689.2341429999999</v>
      </c>
      <c r="J2">
        <v>3</v>
      </c>
      <c r="K2">
        <v>0</v>
      </c>
      <c r="L2">
        <v>5</v>
      </c>
      <c r="M2">
        <v>4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380</v>
      </c>
      <c r="F3">
        <v>26</v>
      </c>
      <c r="G3">
        <v>663</v>
      </c>
      <c r="H3">
        <v>86.960000000000008</v>
      </c>
      <c r="I3">
        <v>1002.300511</v>
      </c>
      <c r="J3">
        <v>0</v>
      </c>
      <c r="K3">
        <v>0</v>
      </c>
      <c r="L3">
        <v>5</v>
      </c>
      <c r="M3">
        <v>4</v>
      </c>
      <c r="N3">
        <v>0</v>
      </c>
      <c r="O3">
        <v>1.75</v>
      </c>
      <c r="P3">
        <v>0.5</v>
      </c>
      <c r="Q3">
        <v>0</v>
      </c>
      <c r="R3">
        <v>0</v>
      </c>
      <c r="S3">
        <v>0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605</v>
      </c>
      <c r="F4">
        <v>16</v>
      </c>
      <c r="G4">
        <v>774</v>
      </c>
      <c r="H4">
        <v>78.08</v>
      </c>
      <c r="I4">
        <v>69.270478999999995</v>
      </c>
      <c r="J4">
        <v>2</v>
      </c>
      <c r="K4">
        <v>0</v>
      </c>
      <c r="L4">
        <v>5</v>
      </c>
      <c r="M4">
        <v>7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4</v>
      </c>
      <c r="D5">
        <v>250</v>
      </c>
      <c r="E5">
        <v>246.25</v>
      </c>
      <c r="F5">
        <v>40</v>
      </c>
      <c r="G5">
        <v>587</v>
      </c>
      <c r="H5">
        <v>93.04</v>
      </c>
      <c r="I5">
        <v>613.63561700000002</v>
      </c>
      <c r="J5">
        <v>0</v>
      </c>
      <c r="K5">
        <v>3</v>
      </c>
      <c r="L5">
        <v>4</v>
      </c>
      <c r="M5">
        <v>2.25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4</v>
      </c>
      <c r="U5">
        <v>5</v>
      </c>
    </row>
    <row r="6" spans="1:21" x14ac:dyDescent="0.3">
      <c r="A6">
        <v>5</v>
      </c>
      <c r="B6">
        <v>1</v>
      </c>
      <c r="C6">
        <v>4</v>
      </c>
      <c r="D6">
        <v>200</v>
      </c>
      <c r="E6">
        <v>210</v>
      </c>
      <c r="F6">
        <v>40</v>
      </c>
      <c r="G6">
        <v>623</v>
      </c>
      <c r="H6">
        <v>90.16</v>
      </c>
      <c r="I6">
        <v>671.41228699999999</v>
      </c>
      <c r="J6">
        <v>6</v>
      </c>
      <c r="K6">
        <v>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4</v>
      </c>
    </row>
    <row r="7" spans="1:21" x14ac:dyDescent="0.3">
      <c r="A7">
        <v>6</v>
      </c>
      <c r="B7">
        <v>1</v>
      </c>
      <c r="C7">
        <v>4</v>
      </c>
      <c r="D7">
        <v>300</v>
      </c>
      <c r="E7">
        <v>232.5</v>
      </c>
      <c r="F7">
        <v>40</v>
      </c>
      <c r="G7">
        <v>610</v>
      </c>
      <c r="H7">
        <v>91.2</v>
      </c>
      <c r="I7">
        <v>684.36034400000005</v>
      </c>
      <c r="J7">
        <v>0</v>
      </c>
      <c r="K7">
        <v>6</v>
      </c>
      <c r="L7">
        <v>3</v>
      </c>
      <c r="M7">
        <v>2.5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>
        <v>6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10</v>
      </c>
      <c r="E10" s="10" cm="1">
        <f t="array" ref="E10">SUM(J10:U10*J$17:U$17)</f>
        <v>440</v>
      </c>
      <c r="F10" s="10">
        <f t="shared" ref="F10:F15" si="0">MIN(FLOOR(10000/E10,1),40)</f>
        <v>22</v>
      </c>
      <c r="J10" s="22">
        <v>13.5</v>
      </c>
      <c r="K10" s="13">
        <f t="shared" ref="K10:U10" si="1">K2</f>
        <v>0</v>
      </c>
      <c r="L10" s="13">
        <f t="shared" si="1"/>
        <v>5</v>
      </c>
      <c r="M10" s="13">
        <v>3</v>
      </c>
      <c r="N10" s="13">
        <f t="shared" si="1"/>
        <v>0</v>
      </c>
      <c r="O10" s="13">
        <f t="shared" si="1"/>
        <v>0</v>
      </c>
      <c r="P10" s="13">
        <f t="shared" si="1"/>
        <v>1</v>
      </c>
      <c r="Q10" s="13">
        <f t="shared" si="1"/>
        <v>0</v>
      </c>
      <c r="R10" s="13">
        <f t="shared" si="1"/>
        <v>0</v>
      </c>
      <c r="S10" s="13">
        <f t="shared" si="1"/>
        <v>0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11</v>
      </c>
      <c r="E11" s="10" cm="1">
        <f t="array" ref="E11">SUM(J11:U11*J$17:U$17)</f>
        <v>385</v>
      </c>
      <c r="F11" s="10">
        <f t="shared" si="0"/>
        <v>25</v>
      </c>
      <c r="J11" s="23">
        <v>1</v>
      </c>
      <c r="K11">
        <f t="shared" ref="J11:U15" si="2">K3</f>
        <v>0</v>
      </c>
      <c r="L11">
        <f t="shared" si="2"/>
        <v>5</v>
      </c>
      <c r="M11">
        <f t="shared" si="2"/>
        <v>4</v>
      </c>
      <c r="N11">
        <f t="shared" si="2"/>
        <v>0</v>
      </c>
      <c r="O11">
        <f t="shared" si="2"/>
        <v>1.75</v>
      </c>
      <c r="P11" s="8">
        <v>0</v>
      </c>
      <c r="Q11">
        <f t="shared" si="2"/>
        <v>0</v>
      </c>
      <c r="R11" s="10">
        <v>0.5</v>
      </c>
      <c r="S11">
        <f t="shared" si="2"/>
        <v>0</v>
      </c>
      <c r="T11">
        <f t="shared" si="2"/>
        <v>3</v>
      </c>
      <c r="U11" s="16">
        <f t="shared" si="2"/>
        <v>9</v>
      </c>
    </row>
    <row r="12" spans="1:21" x14ac:dyDescent="0.3">
      <c r="A12">
        <v>3</v>
      </c>
      <c r="C12" s="20">
        <v>20</v>
      </c>
      <c r="E12" s="10" cm="1">
        <f t="array" ref="E12">SUM(J12:U12*J$17:U$17)</f>
        <v>625</v>
      </c>
      <c r="F12" s="11">
        <f t="shared" si="0"/>
        <v>16</v>
      </c>
      <c r="J12" s="23">
        <v>4</v>
      </c>
      <c r="K12">
        <f t="shared" si="2"/>
        <v>0</v>
      </c>
      <c r="L12">
        <f t="shared" si="2"/>
        <v>5</v>
      </c>
      <c r="M12">
        <f t="shared" si="2"/>
        <v>7</v>
      </c>
      <c r="N12">
        <f t="shared" si="2"/>
        <v>0</v>
      </c>
      <c r="O12">
        <f t="shared" si="2"/>
        <v>0</v>
      </c>
      <c r="P12">
        <f t="shared" si="2"/>
        <v>2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6</v>
      </c>
      <c r="E13" s="8" cm="1">
        <f t="array" ref="E13">SUM(J13:U13*J$17:U$17)</f>
        <v>245</v>
      </c>
      <c r="F13" s="11">
        <f t="shared" si="0"/>
        <v>40</v>
      </c>
      <c r="J13" s="15">
        <f t="shared" si="2"/>
        <v>0</v>
      </c>
      <c r="K13">
        <f t="shared" si="2"/>
        <v>3</v>
      </c>
      <c r="L13">
        <f t="shared" si="2"/>
        <v>4</v>
      </c>
      <c r="M13" s="8">
        <v>2</v>
      </c>
      <c r="N13">
        <f t="shared" si="2"/>
        <v>0</v>
      </c>
      <c r="O13">
        <f t="shared" si="2"/>
        <v>1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4</v>
      </c>
      <c r="U13" s="16">
        <f t="shared" si="2"/>
        <v>5</v>
      </c>
    </row>
    <row r="14" spans="1:21" x14ac:dyDescent="0.3">
      <c r="A14">
        <v>5</v>
      </c>
      <c r="C14" s="20">
        <v>5</v>
      </c>
      <c r="E14" s="10" cm="1">
        <f t="array" ref="E14">SUM(J14:U14*J$17:U$17)</f>
        <v>235</v>
      </c>
      <c r="F14" s="11">
        <f t="shared" si="0"/>
        <v>40</v>
      </c>
      <c r="J14" s="23">
        <v>9</v>
      </c>
      <c r="K14">
        <f t="shared" si="2"/>
        <v>0</v>
      </c>
      <c r="L14" s="8">
        <v>2.5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4</v>
      </c>
      <c r="U14" s="16">
        <f t="shared" si="2"/>
        <v>4</v>
      </c>
    </row>
    <row r="15" spans="1:21" ht="15" thickBot="1" x14ac:dyDescent="0.35">
      <c r="A15">
        <v>6</v>
      </c>
      <c r="C15" s="21">
        <v>4</v>
      </c>
      <c r="E15" s="8" cm="1">
        <f t="array" ref="E15">SUM(J15:U15*J$17:U$17)</f>
        <v>227.5</v>
      </c>
      <c r="F15" s="11">
        <f t="shared" si="0"/>
        <v>40</v>
      </c>
      <c r="J15" s="17">
        <f t="shared" si="2"/>
        <v>0</v>
      </c>
      <c r="K15" s="26">
        <v>7</v>
      </c>
      <c r="L15" s="24">
        <v>2</v>
      </c>
      <c r="M15" s="18">
        <f t="shared" si="2"/>
        <v>2.5</v>
      </c>
      <c r="N15" s="18">
        <f t="shared" si="2"/>
        <v>0</v>
      </c>
      <c r="O15" s="18">
        <f t="shared" si="2"/>
        <v>0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0</v>
      </c>
      <c r="T15" s="18">
        <f t="shared" si="2"/>
        <v>4</v>
      </c>
      <c r="U15" s="19">
        <f t="shared" si="2"/>
        <v>6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03B0-F835-4813-9687-079CF2B96C98}">
  <dimension ref="A1:U17"/>
  <sheetViews>
    <sheetView topLeftCell="B1" workbookViewId="0">
      <selection activeCell="J27" sqref="J27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330</v>
      </c>
      <c r="F2">
        <v>30</v>
      </c>
      <c r="G2">
        <v>582</v>
      </c>
      <c r="H2">
        <v>93.44</v>
      </c>
      <c r="I2">
        <v>1586.5112879999999</v>
      </c>
      <c r="J2">
        <v>4</v>
      </c>
      <c r="K2">
        <v>6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280</v>
      </c>
      <c r="F3">
        <v>35</v>
      </c>
      <c r="G3">
        <v>600</v>
      </c>
      <c r="H3">
        <v>92</v>
      </c>
      <c r="I3">
        <v>540.98689000000002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540</v>
      </c>
      <c r="F4">
        <v>18</v>
      </c>
      <c r="G4">
        <v>722</v>
      </c>
      <c r="H4">
        <v>82.240000000000009</v>
      </c>
      <c r="I4">
        <v>1212.316773</v>
      </c>
      <c r="J4">
        <v>4</v>
      </c>
      <c r="K4">
        <v>0</v>
      </c>
      <c r="L4">
        <v>4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5</v>
      </c>
      <c r="D5">
        <v>280</v>
      </c>
      <c r="E5">
        <v>290</v>
      </c>
      <c r="F5">
        <v>34</v>
      </c>
      <c r="G5">
        <v>548</v>
      </c>
      <c r="H5">
        <v>96.16</v>
      </c>
      <c r="I5">
        <v>806.80927799999995</v>
      </c>
      <c r="J5">
        <v>4</v>
      </c>
      <c r="K5">
        <v>0</v>
      </c>
      <c r="L5">
        <v>4</v>
      </c>
      <c r="M5">
        <v>0</v>
      </c>
      <c r="N5">
        <v>0</v>
      </c>
      <c r="O5">
        <v>0</v>
      </c>
      <c r="P5">
        <v>0.5</v>
      </c>
      <c r="Q5">
        <v>0</v>
      </c>
      <c r="R5">
        <v>0</v>
      </c>
      <c r="S5">
        <v>0</v>
      </c>
      <c r="T5">
        <v>4</v>
      </c>
      <c r="U5">
        <v>7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270</v>
      </c>
      <c r="F6">
        <v>37</v>
      </c>
      <c r="G6">
        <v>576</v>
      </c>
      <c r="H6">
        <v>93.92</v>
      </c>
      <c r="I6">
        <v>1194.7145270000001</v>
      </c>
      <c r="J6">
        <v>1</v>
      </c>
      <c r="K6">
        <v>0</v>
      </c>
      <c r="L6">
        <v>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8</v>
      </c>
      <c r="U6">
        <v>5</v>
      </c>
    </row>
    <row r="7" spans="1:21" x14ac:dyDescent="0.3">
      <c r="A7">
        <v>6</v>
      </c>
      <c r="B7">
        <v>1</v>
      </c>
      <c r="C7">
        <v>4</v>
      </c>
      <c r="D7">
        <v>200</v>
      </c>
      <c r="E7">
        <v>245</v>
      </c>
      <c r="F7">
        <v>40</v>
      </c>
      <c r="G7">
        <v>623</v>
      </c>
      <c r="H7">
        <v>90.16</v>
      </c>
      <c r="I7">
        <v>633.26781200000005</v>
      </c>
      <c r="J7">
        <v>4</v>
      </c>
      <c r="K7">
        <v>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0.5</v>
      </c>
      <c r="S7">
        <v>0</v>
      </c>
      <c r="T7">
        <v>7</v>
      </c>
      <c r="U7">
        <v>4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9">
        <v>4</v>
      </c>
      <c r="E10" s="10" cm="1">
        <f t="array" ref="E10">SUM(J10:U10*J$17:U$17)</f>
        <v>368.75</v>
      </c>
      <c r="F10" s="10">
        <f t="shared" ref="F10:F15" si="0">MIN(FLOOR(10000/E10,1),40)</f>
        <v>27</v>
      </c>
      <c r="J10" s="12">
        <f>J2</f>
        <v>4</v>
      </c>
      <c r="K10" s="25">
        <v>8</v>
      </c>
      <c r="L10" s="13">
        <f t="shared" ref="L10:U10" si="1">L2</f>
        <v>4</v>
      </c>
      <c r="M10" s="13">
        <f t="shared" si="1"/>
        <v>0</v>
      </c>
      <c r="N10" s="13">
        <f t="shared" si="1"/>
        <v>0</v>
      </c>
      <c r="O10" s="13">
        <f t="shared" si="1"/>
        <v>0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25">
        <f>5.5*2.5</f>
        <v>13.75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10</v>
      </c>
      <c r="E11" s="10" cm="1">
        <f t="array" ref="E11">SUM(J11:U11*J$17:U$17)</f>
        <v>380</v>
      </c>
      <c r="F11" s="10">
        <f t="shared" si="0"/>
        <v>26</v>
      </c>
      <c r="J11" s="15">
        <f t="shared" ref="J11:U15" si="2">J3</f>
        <v>6</v>
      </c>
      <c r="K11">
        <f t="shared" si="2"/>
        <v>0</v>
      </c>
      <c r="L11" s="10">
        <v>4</v>
      </c>
      <c r="M11">
        <f t="shared" si="2"/>
        <v>0</v>
      </c>
      <c r="N11">
        <f t="shared" si="2"/>
        <v>0</v>
      </c>
      <c r="O11">
        <f t="shared" si="2"/>
        <v>0</v>
      </c>
      <c r="P11" s="10">
        <v>1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9">
        <v>12</v>
      </c>
      <c r="E12" s="11" cm="1">
        <f t="array" ref="E12">SUM(J12:U12*J$17:U$17)</f>
        <v>540</v>
      </c>
      <c r="F12" s="11">
        <f t="shared" si="0"/>
        <v>18</v>
      </c>
      <c r="J12" s="15">
        <f t="shared" si="2"/>
        <v>4</v>
      </c>
      <c r="K12">
        <f t="shared" si="2"/>
        <v>0</v>
      </c>
      <c r="L12">
        <f t="shared" si="2"/>
        <v>4</v>
      </c>
      <c r="M12">
        <f t="shared" si="2"/>
        <v>0</v>
      </c>
      <c r="N12">
        <f t="shared" si="2"/>
        <v>0</v>
      </c>
      <c r="O12">
        <f t="shared" si="2"/>
        <v>2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9">
        <v>5</v>
      </c>
      <c r="E13" s="8" cm="1">
        <f t="array" ref="E13">SUM(J13:U13*J$17:U$17)</f>
        <v>285</v>
      </c>
      <c r="F13" s="8">
        <f t="shared" si="0"/>
        <v>35</v>
      </c>
      <c r="J13" s="27">
        <v>3.5</v>
      </c>
      <c r="K13">
        <f t="shared" si="2"/>
        <v>0</v>
      </c>
      <c r="L13">
        <f t="shared" si="2"/>
        <v>4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0.5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4</v>
      </c>
      <c r="U13" s="16">
        <f t="shared" si="2"/>
        <v>7</v>
      </c>
    </row>
    <row r="14" spans="1:21" x14ac:dyDescent="0.3">
      <c r="A14">
        <v>5</v>
      </c>
      <c r="C14" s="9">
        <v>4</v>
      </c>
      <c r="E14" s="8" cm="1">
        <f t="array" ref="E14">SUM(J14:U14*J$17:U$17)</f>
        <v>267.5</v>
      </c>
      <c r="F14" s="11">
        <f t="shared" si="0"/>
        <v>37</v>
      </c>
      <c r="J14" s="23">
        <v>1.25</v>
      </c>
      <c r="K14">
        <f t="shared" si="2"/>
        <v>0</v>
      </c>
      <c r="L14" s="8">
        <v>7.5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8</v>
      </c>
      <c r="U14" s="16">
        <f t="shared" si="2"/>
        <v>5</v>
      </c>
    </row>
    <row r="15" spans="1:21" ht="15" thickBot="1" x14ac:dyDescent="0.35">
      <c r="A15">
        <v>6</v>
      </c>
      <c r="C15" s="31">
        <v>4</v>
      </c>
      <c r="E15" s="8" cm="1">
        <f t="array" ref="E15">SUM(J15:U15*J$17:U$17)</f>
        <v>242.5</v>
      </c>
      <c r="F15" s="11">
        <f t="shared" si="0"/>
        <v>40</v>
      </c>
      <c r="J15" s="17">
        <f t="shared" si="2"/>
        <v>4</v>
      </c>
      <c r="K15" s="18">
        <f t="shared" si="2"/>
        <v>0</v>
      </c>
      <c r="L15" s="24">
        <v>2.75</v>
      </c>
      <c r="M15" s="18">
        <f t="shared" si="2"/>
        <v>0</v>
      </c>
      <c r="N15" s="18">
        <f t="shared" si="2"/>
        <v>0</v>
      </c>
      <c r="O15" s="18">
        <f t="shared" si="2"/>
        <v>0</v>
      </c>
      <c r="P15" s="18">
        <f t="shared" si="2"/>
        <v>0</v>
      </c>
      <c r="Q15" s="18">
        <f t="shared" si="2"/>
        <v>0</v>
      </c>
      <c r="R15" s="18">
        <f t="shared" si="2"/>
        <v>0.5</v>
      </c>
      <c r="S15" s="18">
        <f t="shared" si="2"/>
        <v>0</v>
      </c>
      <c r="T15" s="18">
        <f t="shared" si="2"/>
        <v>7</v>
      </c>
      <c r="U15" s="19">
        <f t="shared" si="2"/>
        <v>4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BA77-6109-4011-997F-C3398A264D41}">
  <dimension ref="A1:U17"/>
  <sheetViews>
    <sheetView topLeftCell="B1" workbookViewId="0">
      <selection activeCell="J18" sqref="J18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280</v>
      </c>
      <c r="F2">
        <v>35</v>
      </c>
      <c r="G2">
        <v>611</v>
      </c>
      <c r="H2">
        <v>91.12</v>
      </c>
      <c r="I2">
        <v>2484.687629</v>
      </c>
      <c r="J2">
        <v>3</v>
      </c>
      <c r="K2">
        <v>0</v>
      </c>
      <c r="L2">
        <v>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355</v>
      </c>
      <c r="F3">
        <v>28</v>
      </c>
      <c r="G3">
        <v>626</v>
      </c>
      <c r="H3">
        <v>89.92</v>
      </c>
      <c r="I3">
        <v>1442.2625459999999</v>
      </c>
      <c r="J3">
        <v>0</v>
      </c>
      <c r="K3">
        <v>1</v>
      </c>
      <c r="L3">
        <v>6</v>
      </c>
      <c r="M3">
        <v>3</v>
      </c>
      <c r="N3">
        <v>0</v>
      </c>
      <c r="O3">
        <v>1</v>
      </c>
      <c r="P3">
        <v>0</v>
      </c>
      <c r="Q3">
        <v>0</v>
      </c>
      <c r="R3">
        <v>0</v>
      </c>
      <c r="S3">
        <v>3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505</v>
      </c>
      <c r="F4">
        <v>19</v>
      </c>
      <c r="G4">
        <v>597</v>
      </c>
      <c r="H4">
        <v>92.24</v>
      </c>
      <c r="I4">
        <v>2303.1503760000001</v>
      </c>
      <c r="J4">
        <v>0</v>
      </c>
      <c r="K4">
        <v>4</v>
      </c>
      <c r="L4">
        <v>6</v>
      </c>
      <c r="M4">
        <v>6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14</v>
      </c>
      <c r="D5">
        <v>200</v>
      </c>
      <c r="E5">
        <v>555</v>
      </c>
      <c r="F5">
        <v>18</v>
      </c>
      <c r="G5">
        <v>784</v>
      </c>
      <c r="H5">
        <v>77.279999999999987</v>
      </c>
      <c r="I5">
        <v>827.08996999999999</v>
      </c>
      <c r="J5">
        <v>0</v>
      </c>
      <c r="K5">
        <v>4</v>
      </c>
      <c r="L5">
        <v>6</v>
      </c>
      <c r="M5">
        <v>4</v>
      </c>
      <c r="N5">
        <v>0</v>
      </c>
      <c r="O5">
        <v>3</v>
      </c>
      <c r="P5">
        <v>0</v>
      </c>
      <c r="Q5">
        <v>0</v>
      </c>
      <c r="R5">
        <v>0</v>
      </c>
      <c r="S5">
        <v>3</v>
      </c>
      <c r="T5">
        <v>4</v>
      </c>
      <c r="U5">
        <v>14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250</v>
      </c>
      <c r="F6">
        <v>40</v>
      </c>
      <c r="G6">
        <v>587</v>
      </c>
      <c r="H6">
        <v>93.04</v>
      </c>
      <c r="I6">
        <v>636.11455599999999</v>
      </c>
      <c r="J6">
        <v>0</v>
      </c>
      <c r="K6">
        <v>4</v>
      </c>
      <c r="L6">
        <v>3</v>
      </c>
      <c r="M6">
        <v>2</v>
      </c>
      <c r="N6">
        <v>0</v>
      </c>
      <c r="O6">
        <v>1</v>
      </c>
      <c r="P6">
        <v>0</v>
      </c>
      <c r="Q6">
        <v>0</v>
      </c>
      <c r="R6">
        <v>0</v>
      </c>
      <c r="S6">
        <v>2</v>
      </c>
      <c r="T6">
        <v>4</v>
      </c>
      <c r="U6">
        <v>5</v>
      </c>
    </row>
    <row r="7" spans="1:21" x14ac:dyDescent="0.3">
      <c r="A7">
        <v>6</v>
      </c>
      <c r="B7">
        <v>1</v>
      </c>
      <c r="C7">
        <v>7</v>
      </c>
      <c r="D7">
        <v>280</v>
      </c>
      <c r="E7">
        <v>425</v>
      </c>
      <c r="F7">
        <v>23</v>
      </c>
      <c r="G7">
        <v>615</v>
      </c>
      <c r="H7">
        <v>90.8</v>
      </c>
      <c r="I7">
        <v>696.33236299999999</v>
      </c>
      <c r="J7">
        <v>0</v>
      </c>
      <c r="K7">
        <v>4</v>
      </c>
      <c r="L7">
        <v>6</v>
      </c>
      <c r="M7">
        <v>3</v>
      </c>
      <c r="N7">
        <v>0</v>
      </c>
      <c r="O7">
        <v>2</v>
      </c>
      <c r="P7">
        <v>0</v>
      </c>
      <c r="Q7">
        <v>0</v>
      </c>
      <c r="R7">
        <v>0</v>
      </c>
      <c r="S7">
        <v>2</v>
      </c>
      <c r="T7">
        <v>4</v>
      </c>
      <c r="U7">
        <v>10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12</v>
      </c>
      <c r="E10" s="10" cm="1">
        <f t="array" ref="E10">SUM(J10:U10*J$17:U$17)</f>
        <v>350</v>
      </c>
      <c r="F10" s="10">
        <f t="shared" ref="F10:F15" si="0">MIN(FLOOR(10000/E10,1),40)</f>
        <v>28</v>
      </c>
      <c r="J10" s="32">
        <v>0</v>
      </c>
      <c r="K10" s="13">
        <f t="shared" ref="K10:U10" si="1">K2</f>
        <v>0</v>
      </c>
      <c r="L10" s="29">
        <v>5.5</v>
      </c>
      <c r="M10" s="25">
        <v>3</v>
      </c>
      <c r="N10" s="13">
        <f t="shared" si="1"/>
        <v>0</v>
      </c>
      <c r="O10" s="25">
        <v>2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25">
        <v>4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12</v>
      </c>
      <c r="E11" s="10" cm="1">
        <f t="array" ref="E11">SUM(J11:U11*J$17:U$17)</f>
        <v>390</v>
      </c>
      <c r="F11" s="10">
        <f t="shared" si="0"/>
        <v>25</v>
      </c>
      <c r="J11" s="15">
        <f t="shared" ref="J11:U15" si="2">J3</f>
        <v>0</v>
      </c>
      <c r="K11" s="8">
        <v>0</v>
      </c>
      <c r="L11" s="8">
        <v>5.5</v>
      </c>
      <c r="M11">
        <f t="shared" si="2"/>
        <v>3</v>
      </c>
      <c r="N11">
        <f t="shared" si="2"/>
        <v>0</v>
      </c>
      <c r="O11" s="10">
        <v>2</v>
      </c>
      <c r="P11">
        <f t="shared" si="2"/>
        <v>0</v>
      </c>
      <c r="Q11">
        <f t="shared" si="2"/>
        <v>0</v>
      </c>
      <c r="R11">
        <f t="shared" si="2"/>
        <v>0</v>
      </c>
      <c r="S11" s="10">
        <v>4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20">
        <v>18</v>
      </c>
      <c r="E12" s="10" cm="1">
        <f t="array" ref="E12">SUM(J12:U12*J$17:U$17)</f>
        <v>632.5</v>
      </c>
      <c r="F12" s="10">
        <f t="shared" si="0"/>
        <v>15</v>
      </c>
      <c r="J12" s="15">
        <f t="shared" si="2"/>
        <v>0</v>
      </c>
      <c r="K12" s="8">
        <v>3.5</v>
      </c>
      <c r="L12" s="8">
        <v>2</v>
      </c>
      <c r="M12">
        <f t="shared" si="2"/>
        <v>6</v>
      </c>
      <c r="N12">
        <f t="shared" si="2"/>
        <v>0</v>
      </c>
      <c r="O12" s="10">
        <v>3.5</v>
      </c>
      <c r="P12">
        <f t="shared" si="2"/>
        <v>0</v>
      </c>
      <c r="Q12">
        <f t="shared" si="2"/>
        <v>0</v>
      </c>
      <c r="R12">
        <f t="shared" si="2"/>
        <v>0</v>
      </c>
      <c r="S12" s="10">
        <v>9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18</v>
      </c>
      <c r="E13" s="8" cm="1">
        <f t="array" ref="E13">SUM(J13:U13*J$17:U$17)</f>
        <v>551.25</v>
      </c>
      <c r="F13" s="11">
        <f t="shared" si="0"/>
        <v>18</v>
      </c>
      <c r="J13" s="15">
        <f t="shared" si="2"/>
        <v>0</v>
      </c>
      <c r="K13" s="8">
        <v>3.25</v>
      </c>
      <c r="L13" s="8">
        <v>2.5</v>
      </c>
      <c r="M13">
        <f t="shared" si="2"/>
        <v>4</v>
      </c>
      <c r="N13">
        <f t="shared" si="2"/>
        <v>0</v>
      </c>
      <c r="O13" s="10">
        <v>3.5</v>
      </c>
      <c r="P13">
        <f t="shared" si="2"/>
        <v>0</v>
      </c>
      <c r="Q13">
        <f t="shared" si="2"/>
        <v>0</v>
      </c>
      <c r="R13">
        <f t="shared" si="2"/>
        <v>0</v>
      </c>
      <c r="S13" s="10">
        <v>6</v>
      </c>
      <c r="T13">
        <f t="shared" si="2"/>
        <v>4</v>
      </c>
      <c r="U13" s="16">
        <f t="shared" si="2"/>
        <v>14</v>
      </c>
    </row>
    <row r="14" spans="1:21" x14ac:dyDescent="0.3">
      <c r="A14">
        <v>5</v>
      </c>
      <c r="C14" s="20">
        <v>6</v>
      </c>
      <c r="E14" s="10" cm="1">
        <f t="array" ref="E14">SUM(J14:U14*J$17:U$17)</f>
        <v>252.5</v>
      </c>
      <c r="F14" s="10">
        <f t="shared" si="0"/>
        <v>39</v>
      </c>
      <c r="J14" s="15">
        <f t="shared" si="2"/>
        <v>0</v>
      </c>
      <c r="K14" s="8">
        <v>3.5</v>
      </c>
      <c r="L14" s="8">
        <v>2.5</v>
      </c>
      <c r="M14">
        <f t="shared" si="2"/>
        <v>2</v>
      </c>
      <c r="N14">
        <f t="shared" si="2"/>
        <v>0</v>
      </c>
      <c r="O14">
        <f t="shared" si="2"/>
        <v>1</v>
      </c>
      <c r="P14">
        <f t="shared" si="2"/>
        <v>0</v>
      </c>
      <c r="Q14">
        <f t="shared" si="2"/>
        <v>0</v>
      </c>
      <c r="R14">
        <f t="shared" si="2"/>
        <v>0</v>
      </c>
      <c r="S14" s="10">
        <v>4</v>
      </c>
      <c r="T14">
        <f t="shared" si="2"/>
        <v>4</v>
      </c>
      <c r="U14" s="16">
        <f t="shared" si="2"/>
        <v>5</v>
      </c>
    </row>
    <row r="15" spans="1:21" ht="15" thickBot="1" x14ac:dyDescent="0.35">
      <c r="A15">
        <v>6</v>
      </c>
      <c r="C15" s="21">
        <v>7</v>
      </c>
      <c r="E15" s="8" cm="1">
        <f t="array" ref="E15">SUM(J15:U15*J$17:U$17)</f>
        <v>376.25</v>
      </c>
      <c r="F15" s="8">
        <f t="shared" si="0"/>
        <v>26</v>
      </c>
      <c r="J15" s="17">
        <f t="shared" si="2"/>
        <v>0</v>
      </c>
      <c r="K15" s="24">
        <v>3.25</v>
      </c>
      <c r="L15" s="24">
        <v>2.5</v>
      </c>
      <c r="M15" s="18">
        <f t="shared" si="2"/>
        <v>3</v>
      </c>
      <c r="N15" s="18">
        <f t="shared" si="2"/>
        <v>0</v>
      </c>
      <c r="O15" s="24">
        <v>1.5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26">
        <v>4</v>
      </c>
      <c r="T15" s="18">
        <f t="shared" si="2"/>
        <v>4</v>
      </c>
      <c r="U15" s="19">
        <f t="shared" si="2"/>
        <v>10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873B-FA25-4C66-ADA5-9B2F0B437F30}">
  <dimension ref="A1:U15"/>
  <sheetViews>
    <sheetView tabSelected="1" topLeftCell="I1" workbookViewId="0">
      <selection activeCell="W13" sqref="W13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345</v>
      </c>
      <c r="F2">
        <v>28</v>
      </c>
      <c r="G2">
        <v>582</v>
      </c>
      <c r="H2">
        <v>93.44</v>
      </c>
      <c r="I2">
        <v>1586.27387</v>
      </c>
      <c r="J2">
        <v>0</v>
      </c>
      <c r="K2">
        <v>1</v>
      </c>
      <c r="L2">
        <v>0</v>
      </c>
      <c r="M2">
        <v>2</v>
      </c>
      <c r="N2">
        <v>0</v>
      </c>
      <c r="O2">
        <v>0</v>
      </c>
      <c r="P2">
        <v>2</v>
      </c>
      <c r="Q2">
        <v>0</v>
      </c>
      <c r="R2">
        <v>0</v>
      </c>
      <c r="S2">
        <v>8</v>
      </c>
      <c r="T2">
        <v>3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385</v>
      </c>
      <c r="F3">
        <v>25</v>
      </c>
      <c r="G3">
        <v>668</v>
      </c>
      <c r="H3">
        <v>86.56</v>
      </c>
      <c r="I3">
        <v>307.87613099999999</v>
      </c>
      <c r="J3">
        <v>0</v>
      </c>
      <c r="K3">
        <v>1</v>
      </c>
      <c r="L3">
        <v>0</v>
      </c>
      <c r="M3">
        <v>2</v>
      </c>
      <c r="N3">
        <v>0</v>
      </c>
      <c r="O3">
        <v>0</v>
      </c>
      <c r="P3">
        <v>2</v>
      </c>
      <c r="Q3">
        <v>0</v>
      </c>
      <c r="R3">
        <v>0</v>
      </c>
      <c r="S3">
        <v>8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400</v>
      </c>
      <c r="F4">
        <v>25</v>
      </c>
      <c r="G4">
        <v>602</v>
      </c>
      <c r="H4">
        <v>91.84</v>
      </c>
      <c r="I4">
        <v>1091.9686079999999</v>
      </c>
      <c r="J4">
        <v>0</v>
      </c>
      <c r="K4">
        <v>0</v>
      </c>
      <c r="L4">
        <v>0</v>
      </c>
      <c r="M4">
        <v>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14</v>
      </c>
      <c r="D5">
        <v>200</v>
      </c>
      <c r="E5">
        <v>515</v>
      </c>
      <c r="F5">
        <v>19</v>
      </c>
      <c r="G5">
        <v>774</v>
      </c>
      <c r="H5">
        <v>78.08</v>
      </c>
      <c r="I5">
        <v>1545.329749</v>
      </c>
      <c r="J5">
        <v>0</v>
      </c>
      <c r="K5">
        <v>7</v>
      </c>
      <c r="L5">
        <v>0</v>
      </c>
      <c r="M5">
        <v>4</v>
      </c>
      <c r="N5">
        <v>0</v>
      </c>
      <c r="O5">
        <v>0</v>
      </c>
      <c r="P5">
        <v>2.5</v>
      </c>
      <c r="Q5">
        <v>0</v>
      </c>
      <c r="R5">
        <v>0</v>
      </c>
      <c r="S5">
        <v>0</v>
      </c>
      <c r="T5">
        <v>3</v>
      </c>
      <c r="U5">
        <v>14</v>
      </c>
    </row>
    <row r="6" spans="1:21" x14ac:dyDescent="0.3">
      <c r="A6">
        <v>5</v>
      </c>
      <c r="B6">
        <v>1</v>
      </c>
      <c r="C6">
        <v>4</v>
      </c>
      <c r="D6">
        <v>300</v>
      </c>
      <c r="E6">
        <v>220</v>
      </c>
      <c r="F6">
        <v>40</v>
      </c>
      <c r="G6">
        <v>610</v>
      </c>
      <c r="H6">
        <v>91.2</v>
      </c>
      <c r="I6">
        <v>713.58061499999997</v>
      </c>
      <c r="J6">
        <v>6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</v>
      </c>
      <c r="U6">
        <v>6</v>
      </c>
    </row>
    <row r="7" spans="1:21" ht="15" thickBot="1" x14ac:dyDescent="0.35"/>
    <row r="8" spans="1:21" x14ac:dyDescent="0.3">
      <c r="A8" t="s">
        <v>0</v>
      </c>
      <c r="B8" t="s">
        <v>1</v>
      </c>
      <c r="C8" s="1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4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6" t="s">
        <v>20</v>
      </c>
    </row>
    <row r="9" spans="1:21" x14ac:dyDescent="0.3">
      <c r="A9">
        <v>1</v>
      </c>
      <c r="C9" s="20">
        <v>19</v>
      </c>
      <c r="E9" s="10" cm="1">
        <f t="array" ref="E9">SUM(J9:U9*J$15:U$15)</f>
        <v>432.5</v>
      </c>
      <c r="F9" s="10">
        <f t="shared" ref="F9:F13" si="0">MIN(FLOOR(10000/E9,1),40)</f>
        <v>23</v>
      </c>
      <c r="J9" s="12">
        <f>J2</f>
        <v>0</v>
      </c>
      <c r="K9" s="25">
        <v>3</v>
      </c>
      <c r="L9" s="25">
        <v>4.75</v>
      </c>
      <c r="M9" s="13">
        <f t="shared" ref="M9:U9" si="1">M2</f>
        <v>2</v>
      </c>
      <c r="N9" s="13">
        <f t="shared" si="1"/>
        <v>0</v>
      </c>
      <c r="O9" s="13">
        <f t="shared" si="1"/>
        <v>0</v>
      </c>
      <c r="P9" s="25">
        <v>2.5</v>
      </c>
      <c r="Q9" s="13">
        <f t="shared" si="1"/>
        <v>0</v>
      </c>
      <c r="R9" s="13">
        <f t="shared" si="1"/>
        <v>0</v>
      </c>
      <c r="S9" s="13">
        <f t="shared" si="1"/>
        <v>8</v>
      </c>
      <c r="T9" s="13">
        <f t="shared" si="1"/>
        <v>3</v>
      </c>
      <c r="U9" s="14">
        <f t="shared" si="1"/>
        <v>7</v>
      </c>
    </row>
    <row r="10" spans="1:21" x14ac:dyDescent="0.3">
      <c r="A10">
        <v>2</v>
      </c>
      <c r="C10" s="20">
        <v>19</v>
      </c>
      <c r="E10" s="10" cm="1">
        <f t="array" ref="E10">SUM(J10:U10*J$15:U$15)</f>
        <v>472.5</v>
      </c>
      <c r="F10" s="10">
        <f t="shared" si="0"/>
        <v>21</v>
      </c>
      <c r="J10" s="15">
        <f t="shared" ref="J10:U13" si="2">J3</f>
        <v>0</v>
      </c>
      <c r="K10" s="10">
        <v>3</v>
      </c>
      <c r="L10" s="10">
        <v>4.75</v>
      </c>
      <c r="M10">
        <f t="shared" si="2"/>
        <v>2</v>
      </c>
      <c r="N10">
        <f t="shared" si="2"/>
        <v>0</v>
      </c>
      <c r="O10">
        <f t="shared" si="2"/>
        <v>0</v>
      </c>
      <c r="P10" s="10">
        <v>2.5</v>
      </c>
      <c r="Q10">
        <f t="shared" si="2"/>
        <v>0</v>
      </c>
      <c r="R10">
        <f t="shared" si="2"/>
        <v>0</v>
      </c>
      <c r="S10">
        <f t="shared" si="2"/>
        <v>8</v>
      </c>
      <c r="T10">
        <f t="shared" si="2"/>
        <v>3</v>
      </c>
      <c r="U10" s="16">
        <f t="shared" si="2"/>
        <v>9</v>
      </c>
    </row>
    <row r="11" spans="1:21" x14ac:dyDescent="0.3">
      <c r="A11">
        <v>3</v>
      </c>
      <c r="C11" s="20">
        <v>20</v>
      </c>
      <c r="E11" s="10" cm="1">
        <f t="array" ref="E11">SUM(J11:U11*J$15:U$15)</f>
        <v>625</v>
      </c>
      <c r="F11" s="10">
        <f t="shared" si="0"/>
        <v>16</v>
      </c>
      <c r="J11" s="15">
        <f t="shared" si="2"/>
        <v>0</v>
      </c>
      <c r="K11" s="10">
        <v>3</v>
      </c>
      <c r="L11" s="10">
        <v>7</v>
      </c>
      <c r="M11">
        <f t="shared" si="2"/>
        <v>4</v>
      </c>
      <c r="N11">
        <f t="shared" si="2"/>
        <v>0</v>
      </c>
      <c r="O11">
        <f t="shared" si="2"/>
        <v>0</v>
      </c>
      <c r="P11" s="10">
        <v>2</v>
      </c>
      <c r="Q11">
        <f t="shared" si="2"/>
        <v>0</v>
      </c>
      <c r="R11">
        <f t="shared" si="2"/>
        <v>0</v>
      </c>
      <c r="S11" s="10">
        <v>4</v>
      </c>
      <c r="T11">
        <f t="shared" si="2"/>
        <v>4</v>
      </c>
      <c r="U11" s="16">
        <f t="shared" si="2"/>
        <v>17</v>
      </c>
    </row>
    <row r="12" spans="1:21" x14ac:dyDescent="0.3">
      <c r="A12">
        <v>4</v>
      </c>
      <c r="C12" s="20">
        <v>25</v>
      </c>
      <c r="E12" s="10" cm="1">
        <f t="array" ref="E12">SUM(J12:U12*J$15:U$15)</f>
        <v>557.5</v>
      </c>
      <c r="F12" s="10">
        <f t="shared" si="0"/>
        <v>17</v>
      </c>
      <c r="J12" s="15">
        <f t="shared" si="2"/>
        <v>0</v>
      </c>
      <c r="K12" s="10">
        <v>7.5</v>
      </c>
      <c r="L12" s="10">
        <v>4</v>
      </c>
      <c r="M12">
        <f t="shared" si="2"/>
        <v>4</v>
      </c>
      <c r="N12">
        <f t="shared" si="2"/>
        <v>0</v>
      </c>
      <c r="O12">
        <f t="shared" si="2"/>
        <v>0</v>
      </c>
      <c r="P12">
        <f t="shared" si="2"/>
        <v>2.5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3</v>
      </c>
      <c r="U12" s="16">
        <f t="shared" si="2"/>
        <v>14</v>
      </c>
    </row>
    <row r="13" spans="1:21" x14ac:dyDescent="0.3">
      <c r="A13">
        <v>5</v>
      </c>
      <c r="C13" s="9">
        <v>4</v>
      </c>
      <c r="E13" s="10" cm="1">
        <f t="array" ref="E13">SUM(J13:U13*J$15:U$15)</f>
        <v>255</v>
      </c>
      <c r="F13" s="10">
        <f t="shared" si="0"/>
        <v>39</v>
      </c>
      <c r="J13" s="23">
        <v>7</v>
      </c>
      <c r="K13" s="10">
        <v>3</v>
      </c>
      <c r="L13" s="10">
        <v>2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3</v>
      </c>
      <c r="U13" s="16">
        <f t="shared" si="2"/>
        <v>6</v>
      </c>
    </row>
    <row r="15" spans="1:21" x14ac:dyDescent="0.3">
      <c r="J15">
        <v>10</v>
      </c>
      <c r="K15">
        <v>5</v>
      </c>
      <c r="L15">
        <v>10</v>
      </c>
      <c r="M15">
        <v>5</v>
      </c>
      <c r="N15">
        <v>10</v>
      </c>
      <c r="O15">
        <v>40</v>
      </c>
      <c r="P15">
        <v>60</v>
      </c>
      <c r="Q15">
        <v>20</v>
      </c>
      <c r="R15">
        <v>50</v>
      </c>
      <c r="S15">
        <v>5</v>
      </c>
      <c r="T15">
        <v>10</v>
      </c>
      <c r="U15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171D-90DE-4493-AA0D-6316B9B77193}">
  <dimension ref="A1:U17"/>
  <sheetViews>
    <sheetView workbookViewId="0">
      <selection activeCell="H13" sqref="H13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560</v>
      </c>
      <c r="F2">
        <v>17</v>
      </c>
      <c r="G2">
        <v>804</v>
      </c>
      <c r="H2">
        <v>75.680000000000007</v>
      </c>
      <c r="I2">
        <v>2091.5983759999999</v>
      </c>
      <c r="J2">
        <v>14</v>
      </c>
      <c r="K2">
        <v>2</v>
      </c>
      <c r="L2">
        <v>7</v>
      </c>
      <c r="M2">
        <v>6</v>
      </c>
      <c r="N2">
        <v>0</v>
      </c>
      <c r="O2">
        <v>0</v>
      </c>
      <c r="P2">
        <v>2</v>
      </c>
      <c r="Q2">
        <v>0</v>
      </c>
      <c r="R2">
        <v>0</v>
      </c>
      <c r="S2">
        <v>2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600</v>
      </c>
      <c r="F3">
        <v>16</v>
      </c>
      <c r="G3">
        <v>822</v>
      </c>
      <c r="H3">
        <v>74.239999999999995</v>
      </c>
      <c r="I3">
        <v>180.653785</v>
      </c>
      <c r="J3">
        <v>14</v>
      </c>
      <c r="K3">
        <v>2</v>
      </c>
      <c r="L3">
        <v>7</v>
      </c>
      <c r="M3">
        <v>6</v>
      </c>
      <c r="N3">
        <v>0</v>
      </c>
      <c r="O3">
        <v>0</v>
      </c>
      <c r="P3">
        <v>2</v>
      </c>
      <c r="Q3">
        <v>0</v>
      </c>
      <c r="R3">
        <v>0</v>
      </c>
      <c r="S3">
        <v>2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500</v>
      </c>
      <c r="F4">
        <v>20</v>
      </c>
      <c r="G4">
        <v>585</v>
      </c>
      <c r="H4">
        <v>93.199999999999989</v>
      </c>
      <c r="I4">
        <v>1730.7561940000001</v>
      </c>
      <c r="J4">
        <v>0</v>
      </c>
      <c r="K4">
        <v>7</v>
      </c>
      <c r="L4">
        <v>5</v>
      </c>
      <c r="M4">
        <v>7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3</v>
      </c>
      <c r="U4">
        <v>17</v>
      </c>
    </row>
    <row r="5" spans="1:21" x14ac:dyDescent="0.3">
      <c r="A5">
        <v>4</v>
      </c>
      <c r="B5">
        <v>1</v>
      </c>
      <c r="C5">
        <v>14</v>
      </c>
      <c r="D5">
        <v>200</v>
      </c>
      <c r="E5">
        <v>545</v>
      </c>
      <c r="F5">
        <v>18</v>
      </c>
      <c r="G5">
        <v>784</v>
      </c>
      <c r="H5">
        <v>77.279999999999987</v>
      </c>
      <c r="I5">
        <v>1448.2560189999999</v>
      </c>
      <c r="J5">
        <v>0</v>
      </c>
      <c r="K5">
        <v>6</v>
      </c>
      <c r="L5">
        <v>3.5</v>
      </c>
      <c r="M5">
        <v>6</v>
      </c>
      <c r="N5">
        <v>0</v>
      </c>
      <c r="O5">
        <v>0</v>
      </c>
      <c r="P5">
        <v>2</v>
      </c>
      <c r="Q5">
        <v>0</v>
      </c>
      <c r="R5">
        <v>0</v>
      </c>
      <c r="S5">
        <v>4</v>
      </c>
      <c r="T5">
        <v>3</v>
      </c>
      <c r="U5">
        <v>14</v>
      </c>
    </row>
    <row r="6" spans="1:21" x14ac:dyDescent="0.3">
      <c r="A6">
        <v>5</v>
      </c>
      <c r="B6">
        <v>1</v>
      </c>
      <c r="C6">
        <v>14</v>
      </c>
      <c r="D6">
        <v>280</v>
      </c>
      <c r="E6">
        <v>675</v>
      </c>
      <c r="F6">
        <v>14</v>
      </c>
      <c r="G6">
        <v>837</v>
      </c>
      <c r="H6">
        <v>73.039999999999992</v>
      </c>
      <c r="I6">
        <v>228.997568</v>
      </c>
      <c r="J6">
        <v>0</v>
      </c>
      <c r="K6">
        <v>6</v>
      </c>
      <c r="L6">
        <v>3.5</v>
      </c>
      <c r="M6">
        <v>8</v>
      </c>
      <c r="N6">
        <v>0</v>
      </c>
      <c r="O6">
        <v>0</v>
      </c>
      <c r="P6">
        <v>2</v>
      </c>
      <c r="Q6">
        <v>0</v>
      </c>
      <c r="R6">
        <v>0</v>
      </c>
      <c r="S6">
        <v>4</v>
      </c>
      <c r="T6">
        <v>3</v>
      </c>
      <c r="U6">
        <v>20</v>
      </c>
    </row>
    <row r="7" spans="1:21" x14ac:dyDescent="0.3">
      <c r="A7">
        <v>6</v>
      </c>
      <c r="B7">
        <v>1</v>
      </c>
      <c r="C7">
        <v>4</v>
      </c>
      <c r="D7">
        <v>250</v>
      </c>
      <c r="E7">
        <v>262.5</v>
      </c>
      <c r="F7">
        <v>38</v>
      </c>
      <c r="G7">
        <v>582</v>
      </c>
      <c r="H7">
        <v>93.44</v>
      </c>
      <c r="I7">
        <v>691.13076000000001</v>
      </c>
      <c r="J7">
        <v>0</v>
      </c>
      <c r="K7">
        <v>5</v>
      </c>
      <c r="L7">
        <v>3</v>
      </c>
      <c r="M7">
        <v>2</v>
      </c>
      <c r="N7">
        <v>0</v>
      </c>
      <c r="O7">
        <v>1</v>
      </c>
      <c r="P7">
        <v>0</v>
      </c>
      <c r="Q7">
        <v>1</v>
      </c>
      <c r="R7">
        <v>0</v>
      </c>
      <c r="S7">
        <v>1.5</v>
      </c>
      <c r="T7">
        <v>3</v>
      </c>
      <c r="U7">
        <v>5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6</v>
      </c>
      <c r="E10" s="10" cm="1">
        <f t="array" ref="E10">SUM(J10:U10*J$17:U$17)</f>
        <v>580</v>
      </c>
      <c r="F10" s="11">
        <f t="shared" ref="F10:F15" si="0">MIN(FLOOR(10000/E10,1),40)</f>
        <v>17</v>
      </c>
      <c r="J10" s="22">
        <v>15</v>
      </c>
      <c r="K10" s="13">
        <f t="shared" ref="K10:U10" si="1">K2</f>
        <v>2</v>
      </c>
      <c r="L10" s="13">
        <f t="shared" si="1"/>
        <v>7</v>
      </c>
      <c r="M10" s="13">
        <f t="shared" si="1"/>
        <v>6</v>
      </c>
      <c r="N10" s="13">
        <f t="shared" si="1"/>
        <v>0</v>
      </c>
      <c r="O10" s="13">
        <f t="shared" si="1"/>
        <v>0</v>
      </c>
      <c r="P10" s="13">
        <f t="shared" si="1"/>
        <v>2</v>
      </c>
      <c r="Q10" s="13">
        <f t="shared" si="1"/>
        <v>0</v>
      </c>
      <c r="R10" s="13">
        <f t="shared" si="1"/>
        <v>0</v>
      </c>
      <c r="S10" s="25">
        <v>4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16</v>
      </c>
      <c r="E11" s="10" cm="1">
        <f t="array" ref="E11">SUM(J11:U11*J$17:U$17)</f>
        <v>620</v>
      </c>
      <c r="F11" s="11">
        <f t="shared" si="0"/>
        <v>16</v>
      </c>
      <c r="J11" s="23">
        <v>15</v>
      </c>
      <c r="K11">
        <f t="shared" ref="J11:U15" si="2">K3</f>
        <v>2</v>
      </c>
      <c r="L11">
        <f t="shared" si="2"/>
        <v>7</v>
      </c>
      <c r="M11">
        <f t="shared" si="2"/>
        <v>6</v>
      </c>
      <c r="N11">
        <f t="shared" si="2"/>
        <v>0</v>
      </c>
      <c r="O11">
        <f t="shared" si="2"/>
        <v>0</v>
      </c>
      <c r="P11">
        <f t="shared" si="2"/>
        <v>2</v>
      </c>
      <c r="Q11">
        <f t="shared" si="2"/>
        <v>0</v>
      </c>
      <c r="R11">
        <f t="shared" si="2"/>
        <v>0</v>
      </c>
      <c r="S11" s="10">
        <v>4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20">
        <v>16</v>
      </c>
      <c r="E12" s="10" cm="1">
        <f t="array" ref="E12">SUM(J12:U12*J$17:U$17)</f>
        <v>650</v>
      </c>
      <c r="F12" s="10">
        <f t="shared" si="0"/>
        <v>15</v>
      </c>
      <c r="J12" s="15">
        <f t="shared" si="2"/>
        <v>0</v>
      </c>
      <c r="K12" s="10">
        <v>8</v>
      </c>
      <c r="L12">
        <f t="shared" si="2"/>
        <v>5</v>
      </c>
      <c r="M12">
        <f t="shared" si="2"/>
        <v>7</v>
      </c>
      <c r="N12">
        <f t="shared" si="2"/>
        <v>0</v>
      </c>
      <c r="O12">
        <f t="shared" si="2"/>
        <v>0</v>
      </c>
      <c r="P12" s="10">
        <v>2.25</v>
      </c>
      <c r="Q12">
        <f t="shared" si="2"/>
        <v>0</v>
      </c>
      <c r="R12">
        <f t="shared" si="2"/>
        <v>0</v>
      </c>
      <c r="S12" s="10">
        <v>4</v>
      </c>
      <c r="T12">
        <f t="shared" si="2"/>
        <v>3</v>
      </c>
      <c r="U12" s="16">
        <f t="shared" si="2"/>
        <v>17</v>
      </c>
    </row>
    <row r="13" spans="1:21" x14ac:dyDescent="0.3">
      <c r="A13">
        <v>4</v>
      </c>
      <c r="C13" s="20">
        <v>20</v>
      </c>
      <c r="E13" s="10" cm="1">
        <f t="array" ref="E13">SUM(J13:U13*J$17:U$17)</f>
        <v>567.5</v>
      </c>
      <c r="F13" s="10">
        <f t="shared" si="0"/>
        <v>17</v>
      </c>
      <c r="J13" s="15">
        <f t="shared" si="2"/>
        <v>0</v>
      </c>
      <c r="K13">
        <f t="shared" si="2"/>
        <v>6</v>
      </c>
      <c r="L13" s="10">
        <v>3.75</v>
      </c>
      <c r="M13">
        <f t="shared" si="2"/>
        <v>6</v>
      </c>
      <c r="N13">
        <f t="shared" si="2"/>
        <v>0</v>
      </c>
      <c r="O13">
        <f t="shared" si="2"/>
        <v>0</v>
      </c>
      <c r="P13">
        <f t="shared" si="2"/>
        <v>2</v>
      </c>
      <c r="Q13">
        <f t="shared" si="2"/>
        <v>0</v>
      </c>
      <c r="R13">
        <f t="shared" si="2"/>
        <v>0</v>
      </c>
      <c r="S13" s="10">
        <v>8</v>
      </c>
      <c r="T13">
        <f t="shared" si="2"/>
        <v>3</v>
      </c>
      <c r="U13" s="16">
        <f t="shared" si="2"/>
        <v>14</v>
      </c>
    </row>
    <row r="14" spans="1:21" x14ac:dyDescent="0.3">
      <c r="A14">
        <v>5</v>
      </c>
      <c r="C14" s="20">
        <v>20</v>
      </c>
      <c r="E14" s="10" cm="1">
        <f t="array" ref="E14">SUM(J14:U14*J$17:U$17)</f>
        <v>697.5</v>
      </c>
      <c r="F14" s="11">
        <f t="shared" si="0"/>
        <v>14</v>
      </c>
      <c r="J14" s="15">
        <f t="shared" si="2"/>
        <v>0</v>
      </c>
      <c r="K14">
        <f t="shared" si="2"/>
        <v>6</v>
      </c>
      <c r="L14" s="10">
        <v>3.75</v>
      </c>
      <c r="M14">
        <f t="shared" si="2"/>
        <v>8</v>
      </c>
      <c r="N14">
        <f t="shared" si="2"/>
        <v>0</v>
      </c>
      <c r="O14">
        <f t="shared" si="2"/>
        <v>0</v>
      </c>
      <c r="P14">
        <f t="shared" si="2"/>
        <v>2</v>
      </c>
      <c r="Q14">
        <f t="shared" si="2"/>
        <v>0</v>
      </c>
      <c r="R14">
        <f t="shared" si="2"/>
        <v>0</v>
      </c>
      <c r="S14" s="10">
        <v>8</v>
      </c>
      <c r="T14">
        <f t="shared" si="2"/>
        <v>3</v>
      </c>
      <c r="U14" s="16">
        <f t="shared" si="2"/>
        <v>20</v>
      </c>
    </row>
    <row r="15" spans="1:21" ht="15" thickBot="1" x14ac:dyDescent="0.35">
      <c r="A15">
        <v>6</v>
      </c>
      <c r="C15" s="21">
        <v>20</v>
      </c>
      <c r="E15" s="8" cm="1">
        <f t="array" ref="E15">SUM(J15:U15*J$17:U$17)</f>
        <v>246.25</v>
      </c>
      <c r="F15" s="8">
        <f t="shared" si="0"/>
        <v>40</v>
      </c>
      <c r="J15" s="17">
        <f t="shared" si="2"/>
        <v>0</v>
      </c>
      <c r="K15" s="18">
        <f t="shared" si="2"/>
        <v>5</v>
      </c>
      <c r="L15" s="18">
        <f t="shared" si="2"/>
        <v>3</v>
      </c>
      <c r="M15" s="18">
        <f t="shared" si="2"/>
        <v>2</v>
      </c>
      <c r="N15" s="18">
        <f t="shared" si="2"/>
        <v>0</v>
      </c>
      <c r="O15" s="18">
        <f t="shared" si="2"/>
        <v>1</v>
      </c>
      <c r="P15" s="18">
        <f t="shared" si="2"/>
        <v>0</v>
      </c>
      <c r="Q15" s="24">
        <v>0</v>
      </c>
      <c r="R15" s="18">
        <f t="shared" si="2"/>
        <v>0</v>
      </c>
      <c r="S15" s="26">
        <f>1.5^2</f>
        <v>2.25</v>
      </c>
      <c r="T15" s="18">
        <f t="shared" si="2"/>
        <v>3</v>
      </c>
      <c r="U15" s="19">
        <f t="shared" si="2"/>
        <v>5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E33C-B717-44B7-8738-97062A9CA5D1}">
  <dimension ref="A1:U17"/>
  <sheetViews>
    <sheetView workbookViewId="0">
      <selection activeCell="C10" sqref="C10:C15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270</v>
      </c>
      <c r="F2">
        <v>37</v>
      </c>
      <c r="G2">
        <v>600</v>
      </c>
      <c r="H2">
        <v>92</v>
      </c>
      <c r="I2">
        <v>3902.695514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2</v>
      </c>
      <c r="R2">
        <v>0</v>
      </c>
      <c r="S2">
        <v>2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330</v>
      </c>
      <c r="F3">
        <v>30</v>
      </c>
      <c r="G3">
        <v>593</v>
      </c>
      <c r="H3">
        <v>92.56</v>
      </c>
      <c r="I3">
        <v>583.99086599999998</v>
      </c>
      <c r="J3">
        <v>0</v>
      </c>
      <c r="K3">
        <v>0</v>
      </c>
      <c r="L3">
        <v>0</v>
      </c>
      <c r="M3">
        <v>0</v>
      </c>
      <c r="N3">
        <v>0</v>
      </c>
      <c r="O3">
        <v>1.5</v>
      </c>
      <c r="P3">
        <v>0</v>
      </c>
      <c r="Q3">
        <v>2</v>
      </c>
      <c r="R3">
        <v>0</v>
      </c>
      <c r="S3">
        <v>2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500</v>
      </c>
      <c r="F4">
        <v>20</v>
      </c>
      <c r="G4">
        <v>585</v>
      </c>
      <c r="H4">
        <v>93.199999999999989</v>
      </c>
      <c r="I4">
        <v>1167.332492</v>
      </c>
      <c r="J4">
        <v>0</v>
      </c>
      <c r="K4">
        <v>0</v>
      </c>
      <c r="L4">
        <v>0</v>
      </c>
      <c r="M4">
        <v>0</v>
      </c>
      <c r="N4">
        <v>0</v>
      </c>
      <c r="O4">
        <v>1.75</v>
      </c>
      <c r="P4">
        <v>0</v>
      </c>
      <c r="Q4">
        <v>2</v>
      </c>
      <c r="R4">
        <v>0</v>
      </c>
      <c r="S4">
        <v>2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14</v>
      </c>
      <c r="D5">
        <v>200</v>
      </c>
      <c r="E5">
        <v>450</v>
      </c>
      <c r="F5">
        <v>22</v>
      </c>
      <c r="G5">
        <v>771</v>
      </c>
      <c r="H5">
        <v>78.320000000000007</v>
      </c>
      <c r="I5">
        <v>469.486535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  <c r="Q5">
        <v>2</v>
      </c>
      <c r="R5">
        <v>0</v>
      </c>
      <c r="S5">
        <v>2</v>
      </c>
      <c r="T5">
        <v>4</v>
      </c>
      <c r="U5">
        <v>14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210</v>
      </c>
      <c r="F6">
        <v>40</v>
      </c>
      <c r="G6">
        <v>587</v>
      </c>
      <c r="H6">
        <v>93.04</v>
      </c>
      <c r="I6">
        <v>468.90513399999998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0.5</v>
      </c>
      <c r="Q6">
        <v>2</v>
      </c>
      <c r="R6">
        <v>0</v>
      </c>
      <c r="S6">
        <v>2</v>
      </c>
      <c r="T6">
        <v>3</v>
      </c>
      <c r="U6">
        <v>5</v>
      </c>
    </row>
    <row r="7" spans="1:21" x14ac:dyDescent="0.3">
      <c r="A7">
        <v>6</v>
      </c>
      <c r="B7">
        <v>1</v>
      </c>
      <c r="C7">
        <v>8</v>
      </c>
      <c r="D7">
        <v>300</v>
      </c>
      <c r="E7">
        <v>380</v>
      </c>
      <c r="F7">
        <v>26</v>
      </c>
      <c r="G7">
        <v>547</v>
      </c>
      <c r="H7">
        <v>96.240000000000009</v>
      </c>
      <c r="I7">
        <v>296.88868400000001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2</v>
      </c>
      <c r="R7">
        <v>0</v>
      </c>
      <c r="S7">
        <v>2</v>
      </c>
      <c r="T7">
        <v>3</v>
      </c>
      <c r="U7">
        <v>12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6</v>
      </c>
      <c r="E10" s="11" cm="1">
        <f t="array" ref="E10">SUM(J10:U10*J$17:U$17)</f>
        <v>270</v>
      </c>
      <c r="F10" s="11">
        <f t="shared" ref="F10:F15" si="0">MIN(FLOOR(10000/E10,1),40)</f>
        <v>37</v>
      </c>
      <c r="J10" s="12">
        <f>J2</f>
        <v>0</v>
      </c>
      <c r="K10" s="13">
        <f t="shared" ref="K10:U10" si="1">K2</f>
        <v>0</v>
      </c>
      <c r="L10" s="13">
        <f t="shared" si="1"/>
        <v>0</v>
      </c>
      <c r="M10" s="13">
        <f t="shared" si="1"/>
        <v>0</v>
      </c>
      <c r="N10" s="13">
        <f t="shared" si="1"/>
        <v>0</v>
      </c>
      <c r="O10" s="13">
        <f t="shared" si="1"/>
        <v>1</v>
      </c>
      <c r="P10" s="13">
        <f t="shared" si="1"/>
        <v>0</v>
      </c>
      <c r="Q10" s="13">
        <f t="shared" si="1"/>
        <v>2</v>
      </c>
      <c r="R10" s="13">
        <f t="shared" si="1"/>
        <v>0</v>
      </c>
      <c r="S10" s="13">
        <f t="shared" si="1"/>
        <v>2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9</v>
      </c>
      <c r="E11" s="11" cm="1">
        <f t="array" ref="E11">SUM(J11:U11*J$17:U$17)</f>
        <v>330</v>
      </c>
      <c r="F11" s="11">
        <f t="shared" si="0"/>
        <v>30</v>
      </c>
      <c r="J11" s="15">
        <f t="shared" ref="J11:U15" si="2">J3</f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1.5</v>
      </c>
      <c r="P11">
        <f t="shared" si="2"/>
        <v>0</v>
      </c>
      <c r="Q11">
        <f t="shared" si="2"/>
        <v>2</v>
      </c>
      <c r="R11">
        <f t="shared" si="2"/>
        <v>0</v>
      </c>
      <c r="S11">
        <f t="shared" si="2"/>
        <v>2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20">
        <v>12</v>
      </c>
      <c r="E12" s="11" cm="1">
        <f t="array" ref="E12">SUM(J12:U12*J$17:U$17)</f>
        <v>500</v>
      </c>
      <c r="F12" s="11">
        <f t="shared" si="0"/>
        <v>20</v>
      </c>
      <c r="J12" s="15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1.75</v>
      </c>
      <c r="P12">
        <f t="shared" si="2"/>
        <v>0</v>
      </c>
      <c r="Q12">
        <f t="shared" si="2"/>
        <v>2</v>
      </c>
      <c r="R12">
        <f t="shared" si="2"/>
        <v>0</v>
      </c>
      <c r="S12">
        <f t="shared" si="2"/>
        <v>2</v>
      </c>
      <c r="T12">
        <f t="shared" si="2"/>
        <v>4</v>
      </c>
      <c r="U12" s="16">
        <f t="shared" si="2"/>
        <v>17</v>
      </c>
    </row>
    <row r="13" spans="1:21" x14ac:dyDescent="0.3">
      <c r="A13">
        <v>4</v>
      </c>
      <c r="C13" s="20">
        <v>15</v>
      </c>
      <c r="E13" s="11" cm="1">
        <f t="array" ref="E13">SUM(J13:U13*J$17:U$17)</f>
        <v>450</v>
      </c>
      <c r="F13" s="11">
        <f t="shared" si="0"/>
        <v>22</v>
      </c>
      <c r="J13" s="15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2</v>
      </c>
      <c r="P13">
        <f t="shared" si="2"/>
        <v>0</v>
      </c>
      <c r="Q13">
        <f t="shared" si="2"/>
        <v>2</v>
      </c>
      <c r="R13">
        <f t="shared" si="2"/>
        <v>0</v>
      </c>
      <c r="S13">
        <f t="shared" si="2"/>
        <v>2</v>
      </c>
      <c r="T13">
        <f t="shared" si="2"/>
        <v>4</v>
      </c>
      <c r="U13" s="16">
        <f t="shared" si="2"/>
        <v>14</v>
      </c>
    </row>
    <row r="14" spans="1:21" x14ac:dyDescent="0.3">
      <c r="A14">
        <v>5</v>
      </c>
      <c r="C14" s="20">
        <v>5</v>
      </c>
      <c r="E14" s="11" cm="1">
        <f t="array" ref="E14">SUM(J14:U14*J$17:U$17)</f>
        <v>210</v>
      </c>
      <c r="F14" s="11">
        <f t="shared" si="0"/>
        <v>40</v>
      </c>
      <c r="J14" s="15">
        <f t="shared" si="2"/>
        <v>0</v>
      </c>
      <c r="K14">
        <f t="shared" si="2"/>
        <v>0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0.5</v>
      </c>
      <c r="Q14">
        <f t="shared" si="2"/>
        <v>2</v>
      </c>
      <c r="R14">
        <f t="shared" si="2"/>
        <v>0</v>
      </c>
      <c r="S14">
        <f t="shared" si="2"/>
        <v>2</v>
      </c>
      <c r="T14">
        <f t="shared" si="2"/>
        <v>3</v>
      </c>
      <c r="U14" s="16">
        <f t="shared" si="2"/>
        <v>5</v>
      </c>
    </row>
    <row r="15" spans="1:21" ht="15" thickBot="1" x14ac:dyDescent="0.35">
      <c r="A15">
        <v>6</v>
      </c>
      <c r="C15" s="21">
        <v>10</v>
      </c>
      <c r="E15" s="11" cm="1">
        <f t="array" ref="E15">SUM(J15:U15*J$17:U$17)</f>
        <v>380</v>
      </c>
      <c r="F15" s="11">
        <f t="shared" si="0"/>
        <v>26</v>
      </c>
      <c r="J15" s="17">
        <f t="shared" si="2"/>
        <v>0</v>
      </c>
      <c r="K15" s="18">
        <f t="shared" si="2"/>
        <v>0</v>
      </c>
      <c r="L15" s="18">
        <f t="shared" si="2"/>
        <v>0</v>
      </c>
      <c r="M15" s="18">
        <f t="shared" si="2"/>
        <v>0</v>
      </c>
      <c r="N15" s="18">
        <f t="shared" si="2"/>
        <v>0</v>
      </c>
      <c r="O15" s="18">
        <f t="shared" si="2"/>
        <v>0</v>
      </c>
      <c r="P15" s="18">
        <f t="shared" si="2"/>
        <v>1</v>
      </c>
      <c r="Q15" s="18">
        <f t="shared" si="2"/>
        <v>2</v>
      </c>
      <c r="R15" s="18">
        <f t="shared" si="2"/>
        <v>0</v>
      </c>
      <c r="S15" s="18">
        <f t="shared" si="2"/>
        <v>2</v>
      </c>
      <c r="T15" s="18">
        <f t="shared" si="2"/>
        <v>3</v>
      </c>
      <c r="U15" s="19">
        <f t="shared" si="2"/>
        <v>12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569C-2517-46E9-A0F3-C00306215105}">
  <dimension ref="A1:U17"/>
  <sheetViews>
    <sheetView workbookViewId="0">
      <selection activeCell="H21" sqref="H21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280</v>
      </c>
      <c r="F2">
        <v>35</v>
      </c>
      <c r="G2">
        <v>611</v>
      </c>
      <c r="H2">
        <v>91.12</v>
      </c>
      <c r="I2">
        <v>1776.69678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360</v>
      </c>
      <c r="F3">
        <v>27</v>
      </c>
      <c r="G3">
        <v>660</v>
      </c>
      <c r="H3">
        <v>87.2</v>
      </c>
      <c r="I3">
        <v>366.71001200000001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2</v>
      </c>
      <c r="S3">
        <v>0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652.5</v>
      </c>
      <c r="F4">
        <v>15</v>
      </c>
      <c r="G4">
        <v>784</v>
      </c>
      <c r="H4">
        <v>77.279999999999987</v>
      </c>
      <c r="I4">
        <v>1982.7498029999999</v>
      </c>
      <c r="J4">
        <v>4</v>
      </c>
      <c r="K4">
        <v>2.5</v>
      </c>
      <c r="L4">
        <v>11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  <c r="S4">
        <v>0</v>
      </c>
      <c r="T4">
        <v>3</v>
      </c>
      <c r="U4">
        <v>17</v>
      </c>
    </row>
    <row r="5" spans="1:21" x14ac:dyDescent="0.3">
      <c r="A5">
        <v>4</v>
      </c>
      <c r="B5">
        <v>1</v>
      </c>
      <c r="C5">
        <v>4</v>
      </c>
      <c r="D5">
        <v>300</v>
      </c>
      <c r="E5">
        <v>225</v>
      </c>
      <c r="F5">
        <v>40</v>
      </c>
      <c r="G5">
        <v>610</v>
      </c>
      <c r="H5">
        <v>91.2</v>
      </c>
      <c r="I5">
        <v>94.223104000000006</v>
      </c>
      <c r="J5">
        <v>3.5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3</v>
      </c>
      <c r="U5">
        <v>6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210</v>
      </c>
      <c r="F6">
        <v>40</v>
      </c>
      <c r="G6">
        <v>587</v>
      </c>
      <c r="H6">
        <v>93.04</v>
      </c>
      <c r="I6">
        <v>719.51737200000002</v>
      </c>
      <c r="J6">
        <v>4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3</v>
      </c>
      <c r="U6">
        <v>5</v>
      </c>
    </row>
    <row r="7" spans="1:21" x14ac:dyDescent="0.3">
      <c r="A7">
        <v>6</v>
      </c>
      <c r="B7">
        <v>1</v>
      </c>
      <c r="C7">
        <v>4</v>
      </c>
      <c r="D7">
        <v>200</v>
      </c>
      <c r="E7">
        <v>177.5</v>
      </c>
      <c r="F7">
        <v>40</v>
      </c>
      <c r="G7">
        <v>623</v>
      </c>
      <c r="H7">
        <v>90.16</v>
      </c>
      <c r="I7">
        <v>1057.7519600000001</v>
      </c>
      <c r="J7">
        <v>2</v>
      </c>
      <c r="K7">
        <v>1.5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3</v>
      </c>
      <c r="U7">
        <v>4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0">
        <v>13</v>
      </c>
      <c r="E10" s="10" cm="1">
        <f t="array" ref="E10">SUM(J10:U10*J$17:U$17)</f>
        <v>400</v>
      </c>
      <c r="F10" s="10">
        <f t="shared" ref="F10:F15" si="0">MIN(FLOOR(10000/E10,1),40)</f>
        <v>25</v>
      </c>
      <c r="J10" s="12">
        <f>J2</f>
        <v>0</v>
      </c>
      <c r="K10" s="13">
        <f t="shared" ref="K10:U10" si="1">K2</f>
        <v>0</v>
      </c>
      <c r="L10" s="13">
        <f t="shared" si="1"/>
        <v>0</v>
      </c>
      <c r="M10" s="13">
        <f t="shared" si="1"/>
        <v>0</v>
      </c>
      <c r="N10" s="13">
        <f t="shared" si="1"/>
        <v>0</v>
      </c>
      <c r="O10" s="25">
        <v>3</v>
      </c>
      <c r="P10" s="13">
        <f t="shared" si="1"/>
        <v>0</v>
      </c>
      <c r="Q10" s="13">
        <f t="shared" si="1"/>
        <v>0</v>
      </c>
      <c r="R10" s="13">
        <f t="shared" si="1"/>
        <v>2</v>
      </c>
      <c r="S10" s="13">
        <f t="shared" si="1"/>
        <v>0</v>
      </c>
      <c r="T10" s="13">
        <f t="shared" si="1"/>
        <v>4</v>
      </c>
      <c r="U10" s="14">
        <f t="shared" si="1"/>
        <v>7</v>
      </c>
    </row>
    <row r="11" spans="1:21" x14ac:dyDescent="0.3">
      <c r="A11">
        <v>2</v>
      </c>
      <c r="C11" s="20">
        <v>13</v>
      </c>
      <c r="E11" s="10" cm="1">
        <f t="array" ref="E11">SUM(J11:U11*J$17:U$17)</f>
        <v>440</v>
      </c>
      <c r="F11" s="10">
        <f t="shared" si="0"/>
        <v>22</v>
      </c>
      <c r="J11" s="15">
        <f t="shared" ref="J11:U15" si="2">J3</f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 s="10">
        <v>3</v>
      </c>
      <c r="P11">
        <f t="shared" si="2"/>
        <v>0</v>
      </c>
      <c r="Q11">
        <f t="shared" si="2"/>
        <v>0</v>
      </c>
      <c r="R11">
        <f t="shared" si="2"/>
        <v>2</v>
      </c>
      <c r="S11">
        <f t="shared" si="2"/>
        <v>0</v>
      </c>
      <c r="T11">
        <f t="shared" si="2"/>
        <v>4</v>
      </c>
      <c r="U11" s="16">
        <f t="shared" si="2"/>
        <v>9</v>
      </c>
    </row>
    <row r="12" spans="1:21" x14ac:dyDescent="0.3">
      <c r="A12">
        <v>3</v>
      </c>
      <c r="C12" s="20">
        <v>19</v>
      </c>
      <c r="E12" s="10" cm="1">
        <f t="array" ref="E12">SUM(J12:U12*J$17:U$17)</f>
        <v>712.5</v>
      </c>
      <c r="F12" s="10">
        <f t="shared" si="0"/>
        <v>14</v>
      </c>
      <c r="J12" s="15">
        <f t="shared" si="2"/>
        <v>4</v>
      </c>
      <c r="K12">
        <f t="shared" si="2"/>
        <v>2.5</v>
      </c>
      <c r="L12">
        <f t="shared" si="2"/>
        <v>11</v>
      </c>
      <c r="M12">
        <f t="shared" si="2"/>
        <v>0</v>
      </c>
      <c r="N12">
        <f t="shared" si="2"/>
        <v>0</v>
      </c>
      <c r="O12" s="8">
        <v>0</v>
      </c>
      <c r="P12" s="10">
        <v>3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3</v>
      </c>
      <c r="U12" s="16">
        <f t="shared" si="2"/>
        <v>17</v>
      </c>
    </row>
    <row r="13" spans="1:21" x14ac:dyDescent="0.3">
      <c r="A13">
        <v>4</v>
      </c>
      <c r="C13" s="20">
        <v>6</v>
      </c>
      <c r="E13" s="8" cm="1">
        <f t="array" ref="E13">SUM(J13:U13*J$17:U$17)</f>
        <v>220</v>
      </c>
      <c r="F13" s="11">
        <f t="shared" si="0"/>
        <v>40</v>
      </c>
      <c r="J13" s="27">
        <v>3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1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3</v>
      </c>
      <c r="U13" s="16">
        <f t="shared" si="2"/>
        <v>6</v>
      </c>
    </row>
    <row r="14" spans="1:21" x14ac:dyDescent="0.3">
      <c r="A14">
        <v>5</v>
      </c>
      <c r="C14" s="9">
        <v>4</v>
      </c>
      <c r="E14" s="8" cm="1">
        <f t="array" ref="E14">SUM(J14:U14*J$17:U$17)</f>
        <v>207.5</v>
      </c>
      <c r="F14" s="11">
        <f t="shared" si="0"/>
        <v>40</v>
      </c>
      <c r="J14" s="27">
        <v>3.75</v>
      </c>
      <c r="K14">
        <f t="shared" si="2"/>
        <v>0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1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0</v>
      </c>
      <c r="T14">
        <f t="shared" si="2"/>
        <v>3</v>
      </c>
      <c r="U14" s="16">
        <f t="shared" si="2"/>
        <v>5</v>
      </c>
    </row>
    <row r="15" spans="1:21" ht="15" thickBot="1" x14ac:dyDescent="0.35">
      <c r="A15">
        <v>6</v>
      </c>
      <c r="C15" s="21">
        <v>6</v>
      </c>
      <c r="E15" s="11" cm="1">
        <f t="array" ref="E15">SUM(J15:U15*J$17:U$17)</f>
        <v>177.5</v>
      </c>
      <c r="F15" s="11">
        <f t="shared" si="0"/>
        <v>40</v>
      </c>
      <c r="J15" s="17">
        <f t="shared" si="2"/>
        <v>2</v>
      </c>
      <c r="K15" s="18">
        <f t="shared" si="2"/>
        <v>1.5</v>
      </c>
      <c r="L15" s="18">
        <f t="shared" si="2"/>
        <v>0</v>
      </c>
      <c r="M15" s="18">
        <f t="shared" si="2"/>
        <v>0</v>
      </c>
      <c r="N15" s="18">
        <f t="shared" si="2"/>
        <v>0</v>
      </c>
      <c r="O15" s="18">
        <f t="shared" si="2"/>
        <v>1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0</v>
      </c>
      <c r="T15" s="18">
        <f t="shared" si="2"/>
        <v>3</v>
      </c>
      <c r="U15" s="19">
        <f t="shared" si="2"/>
        <v>4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6800-09D7-4557-8FE3-566481333C30}">
  <dimension ref="A1:U17"/>
  <sheetViews>
    <sheetView topLeftCell="D2" workbookViewId="0">
      <selection activeCell="J15" sqref="J15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295</v>
      </c>
      <c r="F2">
        <v>33</v>
      </c>
      <c r="G2">
        <v>613</v>
      </c>
      <c r="H2">
        <v>90.96</v>
      </c>
      <c r="I2">
        <v>426.20916399999999</v>
      </c>
      <c r="J2">
        <v>1</v>
      </c>
      <c r="K2">
        <v>4</v>
      </c>
      <c r="L2">
        <v>3</v>
      </c>
      <c r="M2">
        <v>3</v>
      </c>
      <c r="N2">
        <v>0</v>
      </c>
      <c r="O2">
        <v>1.25</v>
      </c>
      <c r="P2">
        <v>0</v>
      </c>
      <c r="Q2">
        <v>0</v>
      </c>
      <c r="R2">
        <v>0</v>
      </c>
      <c r="S2">
        <v>0</v>
      </c>
      <c r="T2">
        <v>3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380</v>
      </c>
      <c r="F3">
        <v>26</v>
      </c>
      <c r="G3">
        <v>663</v>
      </c>
      <c r="H3">
        <v>86.960000000000008</v>
      </c>
      <c r="I3">
        <v>685.97078299999998</v>
      </c>
      <c r="J3">
        <v>0</v>
      </c>
      <c r="K3">
        <v>6</v>
      </c>
      <c r="L3">
        <v>3.5</v>
      </c>
      <c r="M3">
        <v>3</v>
      </c>
      <c r="N3">
        <v>0</v>
      </c>
      <c r="O3">
        <v>0</v>
      </c>
      <c r="P3">
        <v>1.5</v>
      </c>
      <c r="Q3">
        <v>0</v>
      </c>
      <c r="R3">
        <v>0</v>
      </c>
      <c r="S3">
        <v>0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540</v>
      </c>
      <c r="F4">
        <v>18</v>
      </c>
      <c r="G4">
        <v>722</v>
      </c>
      <c r="H4">
        <v>82.240000000000009</v>
      </c>
      <c r="I4">
        <v>959.79794900000002</v>
      </c>
      <c r="J4">
        <v>0</v>
      </c>
      <c r="K4">
        <v>6</v>
      </c>
      <c r="L4">
        <v>3</v>
      </c>
      <c r="M4">
        <v>0</v>
      </c>
      <c r="N4">
        <v>0</v>
      </c>
      <c r="O4">
        <v>0</v>
      </c>
      <c r="P4">
        <v>1.5</v>
      </c>
      <c r="Q4">
        <v>1</v>
      </c>
      <c r="R4">
        <v>0</v>
      </c>
      <c r="S4">
        <v>0</v>
      </c>
      <c r="T4">
        <v>3</v>
      </c>
      <c r="U4">
        <v>17</v>
      </c>
    </row>
    <row r="5" spans="1:21" x14ac:dyDescent="0.3">
      <c r="A5">
        <v>4</v>
      </c>
      <c r="B5">
        <v>1</v>
      </c>
      <c r="C5">
        <v>4</v>
      </c>
      <c r="D5">
        <v>300</v>
      </c>
      <c r="E5">
        <v>227.5</v>
      </c>
      <c r="F5">
        <v>40</v>
      </c>
      <c r="G5">
        <v>610</v>
      </c>
      <c r="H5">
        <v>91.2</v>
      </c>
      <c r="I5">
        <v>49.840921000000002</v>
      </c>
      <c r="J5">
        <v>0</v>
      </c>
      <c r="K5">
        <v>4</v>
      </c>
      <c r="L5">
        <v>3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2.5</v>
      </c>
      <c r="T5">
        <v>3</v>
      </c>
      <c r="U5">
        <v>6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190</v>
      </c>
      <c r="F6">
        <v>40</v>
      </c>
      <c r="G6">
        <v>587</v>
      </c>
      <c r="H6">
        <v>93.04</v>
      </c>
      <c r="I6">
        <v>847.48552700000005</v>
      </c>
      <c r="J6">
        <v>3</v>
      </c>
      <c r="K6">
        <v>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</v>
      </c>
      <c r="U6">
        <v>5</v>
      </c>
    </row>
    <row r="7" spans="1:21" x14ac:dyDescent="0.3">
      <c r="A7">
        <v>6</v>
      </c>
      <c r="B7">
        <v>1</v>
      </c>
      <c r="C7">
        <v>4</v>
      </c>
      <c r="D7">
        <v>200</v>
      </c>
      <c r="E7">
        <v>180</v>
      </c>
      <c r="F7">
        <v>40</v>
      </c>
      <c r="G7">
        <v>623</v>
      </c>
      <c r="H7">
        <v>90.16</v>
      </c>
      <c r="I7">
        <v>857.19447400000001</v>
      </c>
      <c r="J7">
        <v>1</v>
      </c>
      <c r="K7">
        <v>6</v>
      </c>
      <c r="L7">
        <v>1.5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3</v>
      </c>
      <c r="U7">
        <v>4</v>
      </c>
    </row>
    <row r="8" spans="1:21" ht="15" thickBot="1" x14ac:dyDescent="0.35"/>
    <row r="9" spans="1:21" x14ac:dyDescent="0.3">
      <c r="A9" t="s">
        <v>0</v>
      </c>
      <c r="B9" t="s">
        <v>1</v>
      </c>
      <c r="C9" s="1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4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5" t="s">
        <v>19</v>
      </c>
      <c r="U9" s="6" t="s">
        <v>20</v>
      </c>
    </row>
    <row r="10" spans="1:21" x14ac:dyDescent="0.3">
      <c r="A10">
        <v>1</v>
      </c>
      <c r="C10" s="2">
        <v>7</v>
      </c>
      <c r="E10" cm="1">
        <f t="array" ref="E10">SUM(J10:U10*J$17:U$17)</f>
        <v>295</v>
      </c>
      <c r="F10">
        <f t="shared" ref="F10:F15" si="0">MIN(FLOOR(10000/E10,1),40)</f>
        <v>33</v>
      </c>
      <c r="J10" s="12">
        <f>J2</f>
        <v>1</v>
      </c>
      <c r="K10" s="13">
        <f t="shared" ref="K10:U10" si="1">K2</f>
        <v>4</v>
      </c>
      <c r="L10" s="13">
        <f t="shared" si="1"/>
        <v>3</v>
      </c>
      <c r="M10" s="13">
        <f t="shared" si="1"/>
        <v>3</v>
      </c>
      <c r="N10" s="13">
        <f t="shared" si="1"/>
        <v>0</v>
      </c>
      <c r="O10" s="13">
        <f t="shared" si="1"/>
        <v>1.25</v>
      </c>
      <c r="P10" s="13">
        <f t="shared" si="1"/>
        <v>0</v>
      </c>
      <c r="Q10" s="13">
        <f t="shared" si="1"/>
        <v>0</v>
      </c>
      <c r="R10" s="13">
        <f t="shared" si="1"/>
        <v>0</v>
      </c>
      <c r="S10" s="13">
        <f t="shared" si="1"/>
        <v>0</v>
      </c>
      <c r="T10" s="13">
        <f t="shared" si="1"/>
        <v>3</v>
      </c>
      <c r="U10" s="14">
        <f t="shared" si="1"/>
        <v>7</v>
      </c>
    </row>
    <row r="11" spans="1:21" x14ac:dyDescent="0.3">
      <c r="A11">
        <v>2</v>
      </c>
      <c r="C11" s="2">
        <v>15</v>
      </c>
      <c r="E11" cm="1">
        <f t="array" ref="E11">SUM(J11:U11*J$17:U$17)</f>
        <v>380</v>
      </c>
      <c r="F11">
        <f t="shared" si="0"/>
        <v>26</v>
      </c>
      <c r="J11" s="15">
        <f t="shared" ref="J11:U15" si="2">J3</f>
        <v>0</v>
      </c>
      <c r="K11">
        <f t="shared" si="2"/>
        <v>6</v>
      </c>
      <c r="L11">
        <f t="shared" si="2"/>
        <v>3.5</v>
      </c>
      <c r="M11">
        <f t="shared" si="2"/>
        <v>3</v>
      </c>
      <c r="N11">
        <f t="shared" si="2"/>
        <v>0</v>
      </c>
      <c r="O11">
        <f t="shared" si="2"/>
        <v>0</v>
      </c>
      <c r="P11">
        <f t="shared" si="2"/>
        <v>1.5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3</v>
      </c>
      <c r="U11" s="16">
        <f t="shared" si="2"/>
        <v>9</v>
      </c>
    </row>
    <row r="12" spans="1:21" x14ac:dyDescent="0.3">
      <c r="A12">
        <v>3</v>
      </c>
      <c r="C12" s="2">
        <v>15</v>
      </c>
      <c r="E12" cm="1">
        <f t="array" ref="E12">SUM(J12:U12*J$17:U$17)</f>
        <v>540</v>
      </c>
      <c r="F12">
        <f t="shared" si="0"/>
        <v>18</v>
      </c>
      <c r="J12" s="15">
        <f t="shared" si="2"/>
        <v>0</v>
      </c>
      <c r="K12">
        <f t="shared" si="2"/>
        <v>6</v>
      </c>
      <c r="L12">
        <f t="shared" si="2"/>
        <v>3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1.5</v>
      </c>
      <c r="Q12">
        <f t="shared" si="2"/>
        <v>1</v>
      </c>
      <c r="R12">
        <f t="shared" si="2"/>
        <v>0</v>
      </c>
      <c r="S12">
        <f t="shared" si="2"/>
        <v>0</v>
      </c>
      <c r="T12">
        <f t="shared" si="2"/>
        <v>3</v>
      </c>
      <c r="U12" s="16">
        <f t="shared" si="2"/>
        <v>17</v>
      </c>
    </row>
    <row r="13" spans="1:21" x14ac:dyDescent="0.3">
      <c r="A13">
        <v>4</v>
      </c>
      <c r="C13" s="2">
        <v>4</v>
      </c>
      <c r="E13" cm="1">
        <f t="array" ref="E13">SUM(J13:U13*J$17:U$17)</f>
        <v>235</v>
      </c>
      <c r="F13">
        <f t="shared" si="0"/>
        <v>40</v>
      </c>
      <c r="J13" s="15">
        <f t="shared" si="2"/>
        <v>0</v>
      </c>
      <c r="K13">
        <f t="shared" si="2"/>
        <v>4</v>
      </c>
      <c r="L13">
        <f t="shared" si="2"/>
        <v>3</v>
      </c>
      <c r="M13">
        <f t="shared" si="2"/>
        <v>3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v>4</v>
      </c>
      <c r="T13">
        <f t="shared" si="2"/>
        <v>3</v>
      </c>
      <c r="U13" s="16">
        <f t="shared" si="2"/>
        <v>6</v>
      </c>
    </row>
    <row r="14" spans="1:21" x14ac:dyDescent="0.3">
      <c r="A14">
        <v>5</v>
      </c>
      <c r="C14" s="2">
        <v>4</v>
      </c>
      <c r="E14" cm="1">
        <f t="array" ref="E14">SUM(J14:U14*J$17:U$17)</f>
        <v>215</v>
      </c>
      <c r="F14">
        <f t="shared" si="0"/>
        <v>40</v>
      </c>
      <c r="J14" s="15">
        <f t="shared" si="2"/>
        <v>3</v>
      </c>
      <c r="K14">
        <f t="shared" si="2"/>
        <v>0</v>
      </c>
      <c r="L14">
        <f t="shared" si="2"/>
        <v>3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v>5</v>
      </c>
      <c r="T14">
        <f t="shared" si="2"/>
        <v>3</v>
      </c>
      <c r="U14" s="16">
        <f t="shared" si="2"/>
        <v>5</v>
      </c>
    </row>
    <row r="15" spans="1:21" ht="15" thickBot="1" x14ac:dyDescent="0.35">
      <c r="A15">
        <v>6</v>
      </c>
      <c r="C15" s="3">
        <v>7</v>
      </c>
      <c r="E15" cm="1">
        <f t="array" ref="E15">SUM(J15:U15*J$17:U$17)</f>
        <v>195</v>
      </c>
      <c r="F15">
        <f t="shared" si="0"/>
        <v>40</v>
      </c>
      <c r="J15" s="17">
        <f t="shared" si="2"/>
        <v>1</v>
      </c>
      <c r="K15" s="18">
        <f t="shared" si="2"/>
        <v>6</v>
      </c>
      <c r="L15" s="18">
        <f t="shared" si="2"/>
        <v>1.5</v>
      </c>
      <c r="M15" s="18">
        <f t="shared" si="2"/>
        <v>0</v>
      </c>
      <c r="N15" s="18">
        <f t="shared" si="2"/>
        <v>0</v>
      </c>
      <c r="O15" s="18">
        <f t="shared" si="2"/>
        <v>0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v>6</v>
      </c>
      <c r="T15" s="18">
        <f t="shared" si="2"/>
        <v>3</v>
      </c>
      <c r="U15" s="19">
        <f t="shared" si="2"/>
        <v>4</v>
      </c>
    </row>
    <row r="17" spans="10:21" x14ac:dyDescent="0.3">
      <c r="J17">
        <v>10</v>
      </c>
      <c r="K17">
        <v>5</v>
      </c>
      <c r="L17">
        <v>10</v>
      </c>
      <c r="M17">
        <v>5</v>
      </c>
      <c r="N17">
        <v>10</v>
      </c>
      <c r="O17">
        <v>40</v>
      </c>
      <c r="P17">
        <v>60</v>
      </c>
      <c r="Q17">
        <v>20</v>
      </c>
      <c r="R17">
        <v>50</v>
      </c>
      <c r="S17">
        <v>5</v>
      </c>
      <c r="T17">
        <v>10</v>
      </c>
      <c r="U17">
        <v>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81AE-C1C9-4D22-AE6E-1FAA939B1A77}">
  <dimension ref="A1:U11"/>
  <sheetViews>
    <sheetView workbookViewId="0">
      <selection activeCell="G20" sqref="G20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300</v>
      </c>
      <c r="F2">
        <v>33</v>
      </c>
      <c r="G2">
        <v>613</v>
      </c>
      <c r="H2">
        <v>90.96</v>
      </c>
      <c r="I2">
        <v>82.609438999999995</v>
      </c>
      <c r="J2">
        <v>0</v>
      </c>
      <c r="K2">
        <v>2</v>
      </c>
      <c r="L2">
        <v>3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3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325</v>
      </c>
      <c r="F3">
        <v>30</v>
      </c>
      <c r="G3">
        <v>593</v>
      </c>
      <c r="H3">
        <v>92.56</v>
      </c>
      <c r="I3">
        <v>526.49803599999996</v>
      </c>
      <c r="J3">
        <v>0</v>
      </c>
      <c r="K3">
        <v>2</v>
      </c>
      <c r="L3">
        <v>3</v>
      </c>
      <c r="M3">
        <v>0</v>
      </c>
      <c r="N3">
        <v>0</v>
      </c>
      <c r="O3">
        <v>1.25</v>
      </c>
      <c r="P3">
        <v>0</v>
      </c>
      <c r="Q3">
        <v>0</v>
      </c>
      <c r="R3">
        <v>0.5</v>
      </c>
      <c r="S3">
        <v>0</v>
      </c>
      <c r="T3">
        <v>3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585</v>
      </c>
      <c r="F4">
        <v>17</v>
      </c>
      <c r="G4">
        <v>760</v>
      </c>
      <c r="H4">
        <v>79.2</v>
      </c>
      <c r="I4">
        <v>1269.175133</v>
      </c>
      <c r="J4">
        <v>0</v>
      </c>
      <c r="K4">
        <v>11</v>
      </c>
      <c r="L4">
        <v>3</v>
      </c>
      <c r="M4">
        <v>0</v>
      </c>
      <c r="N4">
        <v>0</v>
      </c>
      <c r="O4">
        <v>2</v>
      </c>
      <c r="P4">
        <v>0</v>
      </c>
      <c r="Q4">
        <v>0</v>
      </c>
      <c r="R4">
        <v>1</v>
      </c>
      <c r="S4">
        <v>0</v>
      </c>
      <c r="T4">
        <v>3</v>
      </c>
      <c r="U4">
        <v>17</v>
      </c>
    </row>
    <row r="5" spans="1:21" ht="15" thickBot="1" x14ac:dyDescent="0.35"/>
    <row r="6" spans="1:21" x14ac:dyDescent="0.3">
      <c r="A6" t="s">
        <v>0</v>
      </c>
      <c r="B6" t="s">
        <v>1</v>
      </c>
      <c r="C6" s="1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s="4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6" t="s">
        <v>20</v>
      </c>
    </row>
    <row r="7" spans="1:21" x14ac:dyDescent="0.3">
      <c r="A7">
        <v>1</v>
      </c>
      <c r="C7" s="20">
        <v>6</v>
      </c>
      <c r="E7" s="11" cm="1">
        <f t="array" ref="E7">SUM(J7:U7*J$11:U$11)</f>
        <v>300</v>
      </c>
      <c r="F7" s="11">
        <f t="shared" ref="F7:F9" si="0">MIN(FLOOR(10000/E7,1),40)</f>
        <v>33</v>
      </c>
      <c r="J7">
        <f>J2</f>
        <v>0</v>
      </c>
      <c r="K7" s="10">
        <v>7</v>
      </c>
      <c r="L7">
        <f t="shared" ref="L7:U7" si="1">L2</f>
        <v>3</v>
      </c>
      <c r="M7">
        <f t="shared" si="1"/>
        <v>0</v>
      </c>
      <c r="N7">
        <f t="shared" si="1"/>
        <v>0</v>
      </c>
      <c r="O7">
        <f t="shared" si="1"/>
        <v>1</v>
      </c>
      <c r="P7">
        <f t="shared" si="1"/>
        <v>0</v>
      </c>
      <c r="Q7">
        <f t="shared" si="1"/>
        <v>0</v>
      </c>
      <c r="R7" s="8">
        <v>0.5</v>
      </c>
      <c r="S7">
        <f t="shared" si="1"/>
        <v>0</v>
      </c>
      <c r="T7">
        <f t="shared" si="1"/>
        <v>3</v>
      </c>
      <c r="U7">
        <f t="shared" si="1"/>
        <v>7</v>
      </c>
    </row>
    <row r="8" spans="1:21" x14ac:dyDescent="0.3">
      <c r="A8">
        <v>2</v>
      </c>
      <c r="C8" s="20">
        <v>10</v>
      </c>
      <c r="E8" s="10" cm="1">
        <f t="array" ref="E8">SUM(J8:U8*J$11:U$11)</f>
        <v>355</v>
      </c>
      <c r="F8" s="10">
        <f t="shared" si="0"/>
        <v>28</v>
      </c>
      <c r="J8">
        <f t="shared" ref="J8:U9" si="2">J3</f>
        <v>0</v>
      </c>
      <c r="K8" s="10">
        <v>6</v>
      </c>
      <c r="L8">
        <f t="shared" si="2"/>
        <v>3</v>
      </c>
      <c r="M8">
        <f t="shared" si="2"/>
        <v>0</v>
      </c>
      <c r="N8">
        <f t="shared" si="2"/>
        <v>0</v>
      </c>
      <c r="O8" s="10">
        <v>1.5</v>
      </c>
      <c r="P8">
        <f t="shared" si="2"/>
        <v>0</v>
      </c>
      <c r="Q8">
        <f t="shared" si="2"/>
        <v>0</v>
      </c>
      <c r="R8">
        <f t="shared" si="2"/>
        <v>0.5</v>
      </c>
      <c r="S8">
        <f t="shared" si="2"/>
        <v>0</v>
      </c>
      <c r="T8">
        <f t="shared" si="2"/>
        <v>3</v>
      </c>
      <c r="U8">
        <f t="shared" si="2"/>
        <v>9</v>
      </c>
    </row>
    <row r="9" spans="1:21" x14ac:dyDescent="0.3">
      <c r="A9">
        <v>3</v>
      </c>
      <c r="C9" s="20">
        <v>18</v>
      </c>
      <c r="E9" s="10" cm="1">
        <f t="array" ref="E9">SUM(J9:U9*J$11:U$11)</f>
        <v>612.5</v>
      </c>
      <c r="F9" s="10">
        <f t="shared" si="0"/>
        <v>16</v>
      </c>
      <c r="J9">
        <f t="shared" si="2"/>
        <v>0</v>
      </c>
      <c r="K9" s="8">
        <v>10.5</v>
      </c>
      <c r="L9">
        <f t="shared" si="2"/>
        <v>3</v>
      </c>
      <c r="M9">
        <f t="shared" si="2"/>
        <v>0</v>
      </c>
      <c r="N9">
        <f t="shared" si="2"/>
        <v>0</v>
      </c>
      <c r="O9" s="10">
        <v>2.75</v>
      </c>
      <c r="P9">
        <f t="shared" si="2"/>
        <v>0</v>
      </c>
      <c r="Q9">
        <f t="shared" si="2"/>
        <v>0</v>
      </c>
      <c r="R9">
        <f t="shared" si="2"/>
        <v>1</v>
      </c>
      <c r="S9">
        <f t="shared" si="2"/>
        <v>0</v>
      </c>
      <c r="T9">
        <f t="shared" si="2"/>
        <v>3</v>
      </c>
      <c r="U9">
        <f t="shared" si="2"/>
        <v>17</v>
      </c>
    </row>
    <row r="11" spans="1:21" x14ac:dyDescent="0.3">
      <c r="J11">
        <v>10</v>
      </c>
      <c r="K11">
        <v>5</v>
      </c>
      <c r="L11">
        <v>10</v>
      </c>
      <c r="M11">
        <v>5</v>
      </c>
      <c r="N11">
        <v>10</v>
      </c>
      <c r="O11">
        <v>40</v>
      </c>
      <c r="P11">
        <v>60</v>
      </c>
      <c r="Q11">
        <v>20</v>
      </c>
      <c r="R11">
        <v>50</v>
      </c>
      <c r="S11">
        <v>5</v>
      </c>
      <c r="T11">
        <v>10</v>
      </c>
      <c r="U11">
        <v>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DE54-8270-4F1C-92D5-0B75F8CA072D}">
  <dimension ref="A1:U15"/>
  <sheetViews>
    <sheetView workbookViewId="0">
      <selection activeCell="F13" sqref="F13"/>
    </sheetView>
  </sheetViews>
  <sheetFormatPr defaultRowHeight="14.4" x14ac:dyDescent="0.3"/>
  <sheetData>
    <row r="1" spans="1:2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3">
      <c r="A2" s="7">
        <v>1</v>
      </c>
      <c r="B2" s="7">
        <v>1</v>
      </c>
      <c r="C2" s="7">
        <v>4</v>
      </c>
      <c r="D2" s="7">
        <v>350</v>
      </c>
      <c r="E2" s="7">
        <v>360</v>
      </c>
      <c r="F2" s="7">
        <v>27</v>
      </c>
      <c r="G2" s="7">
        <v>596</v>
      </c>
      <c r="H2" s="7">
        <v>92.320000000000007</v>
      </c>
      <c r="I2" s="7">
        <v>95.343723999999995</v>
      </c>
      <c r="J2" s="7">
        <v>0</v>
      </c>
      <c r="K2" s="7">
        <v>6</v>
      </c>
      <c r="L2" s="7">
        <v>2</v>
      </c>
      <c r="M2" s="7">
        <v>6</v>
      </c>
      <c r="N2" s="7">
        <v>0</v>
      </c>
      <c r="O2" s="7">
        <v>0</v>
      </c>
      <c r="P2" s="7">
        <v>1.5</v>
      </c>
      <c r="Q2" s="7">
        <v>0</v>
      </c>
      <c r="R2" s="7">
        <v>0</v>
      </c>
      <c r="S2" s="7">
        <v>4</v>
      </c>
      <c r="T2" s="7">
        <v>3</v>
      </c>
      <c r="U2" s="7">
        <v>7</v>
      </c>
    </row>
    <row r="3" spans="1:21" x14ac:dyDescent="0.3">
      <c r="A3" s="7">
        <v>2</v>
      </c>
      <c r="B3" s="7">
        <v>1</v>
      </c>
      <c r="C3" s="7">
        <v>8</v>
      </c>
      <c r="D3" s="7">
        <v>220</v>
      </c>
      <c r="E3" s="7">
        <v>390</v>
      </c>
      <c r="F3" s="7">
        <v>25</v>
      </c>
      <c r="G3" s="7">
        <v>668</v>
      </c>
      <c r="H3" s="7">
        <v>86.56</v>
      </c>
      <c r="I3" s="7">
        <v>1545.245739</v>
      </c>
      <c r="J3" s="7">
        <v>0</v>
      </c>
      <c r="K3" s="7">
        <v>10</v>
      </c>
      <c r="L3" s="7">
        <v>2</v>
      </c>
      <c r="M3" s="7">
        <v>0</v>
      </c>
      <c r="N3" s="7">
        <v>2</v>
      </c>
      <c r="O3" s="7">
        <v>2</v>
      </c>
      <c r="P3" s="7">
        <v>0</v>
      </c>
      <c r="Q3" s="7">
        <v>0</v>
      </c>
      <c r="R3" s="7">
        <v>0</v>
      </c>
      <c r="S3" s="7">
        <v>0</v>
      </c>
      <c r="T3" s="7">
        <v>4</v>
      </c>
      <c r="U3" s="7">
        <v>9</v>
      </c>
    </row>
    <row r="4" spans="1:21" x14ac:dyDescent="0.3">
      <c r="A4" s="7">
        <v>3</v>
      </c>
      <c r="B4" s="7">
        <v>1</v>
      </c>
      <c r="C4" s="7">
        <v>12</v>
      </c>
      <c r="D4" s="7">
        <v>280</v>
      </c>
      <c r="E4" s="7">
        <v>580</v>
      </c>
      <c r="F4" s="7">
        <v>17</v>
      </c>
      <c r="G4" s="7">
        <v>760</v>
      </c>
      <c r="H4" s="7">
        <v>79.2</v>
      </c>
      <c r="I4" s="7">
        <v>81.385249999999999</v>
      </c>
      <c r="J4" s="7">
        <v>0</v>
      </c>
      <c r="K4" s="7">
        <v>5</v>
      </c>
      <c r="L4" s="7">
        <v>3</v>
      </c>
      <c r="M4" s="7">
        <v>7</v>
      </c>
      <c r="N4" s="7">
        <v>1</v>
      </c>
      <c r="O4" s="7">
        <v>0</v>
      </c>
      <c r="P4" s="7">
        <v>1.5</v>
      </c>
      <c r="Q4" s="7">
        <v>0</v>
      </c>
      <c r="R4" s="7">
        <v>0</v>
      </c>
      <c r="S4" s="7">
        <v>4</v>
      </c>
      <c r="T4" s="7">
        <v>3</v>
      </c>
      <c r="U4" s="7">
        <v>17</v>
      </c>
    </row>
    <row r="5" spans="1:21" x14ac:dyDescent="0.3">
      <c r="A5" s="7">
        <v>4</v>
      </c>
      <c r="B5" s="7">
        <v>1</v>
      </c>
      <c r="C5" s="7">
        <v>4</v>
      </c>
      <c r="D5" s="7">
        <v>300</v>
      </c>
      <c r="E5" s="7">
        <v>270</v>
      </c>
      <c r="F5" s="7">
        <v>37</v>
      </c>
      <c r="G5" s="7">
        <v>600</v>
      </c>
      <c r="H5" s="7">
        <v>92</v>
      </c>
      <c r="I5" s="7">
        <v>54.154645000000002</v>
      </c>
      <c r="J5" s="7">
        <v>1</v>
      </c>
      <c r="K5" s="7">
        <v>11</v>
      </c>
      <c r="L5" s="7">
        <v>2</v>
      </c>
      <c r="M5" s="7">
        <v>5</v>
      </c>
      <c r="N5" s="7">
        <v>1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3</v>
      </c>
      <c r="U5" s="7">
        <v>6</v>
      </c>
    </row>
    <row r="6" spans="1:21" x14ac:dyDescent="0.3">
      <c r="A6" s="7">
        <v>5</v>
      </c>
      <c r="B6" s="7">
        <v>1</v>
      </c>
      <c r="C6" s="7">
        <v>4</v>
      </c>
      <c r="D6" s="7">
        <v>200</v>
      </c>
      <c r="E6" s="7">
        <v>110</v>
      </c>
      <c r="F6" s="7">
        <v>40</v>
      </c>
      <c r="G6" s="7">
        <v>623</v>
      </c>
      <c r="H6" s="7">
        <v>90.16</v>
      </c>
      <c r="I6" s="7">
        <v>1305.0325789999999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3</v>
      </c>
      <c r="U6" s="7">
        <v>4</v>
      </c>
    </row>
    <row r="7" spans="1:21" ht="15" thickBot="1" x14ac:dyDescent="0.35"/>
    <row r="8" spans="1:21" x14ac:dyDescent="0.3">
      <c r="A8" t="s">
        <v>0</v>
      </c>
      <c r="B8" t="s">
        <v>1</v>
      </c>
      <c r="C8" s="1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4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6" t="s">
        <v>20</v>
      </c>
    </row>
    <row r="9" spans="1:21" x14ac:dyDescent="0.3">
      <c r="C9" s="7">
        <v>6</v>
      </c>
      <c r="E9" cm="1">
        <f t="array" ref="E9">SUM(J9:U9*J$15:U$15)</f>
        <v>320</v>
      </c>
      <c r="F9">
        <f t="shared" ref="F9:F13" si="0">MIN(FLOOR(10000/E9,1),40)</f>
        <v>31</v>
      </c>
      <c r="J9">
        <f>J2</f>
        <v>0</v>
      </c>
      <c r="K9">
        <f t="shared" ref="K9:U9" si="1">K2</f>
        <v>6</v>
      </c>
      <c r="L9">
        <f t="shared" si="1"/>
        <v>2</v>
      </c>
      <c r="M9">
        <f t="shared" si="1"/>
        <v>6</v>
      </c>
      <c r="N9">
        <f t="shared" si="1"/>
        <v>0</v>
      </c>
      <c r="O9">
        <v>1.25</v>
      </c>
      <c r="P9">
        <v>0</v>
      </c>
      <c r="Q9">
        <f t="shared" si="1"/>
        <v>0</v>
      </c>
      <c r="R9">
        <f t="shared" si="1"/>
        <v>0</v>
      </c>
      <c r="S9">
        <f t="shared" si="1"/>
        <v>4</v>
      </c>
      <c r="T9">
        <f t="shared" si="1"/>
        <v>3</v>
      </c>
      <c r="U9">
        <f t="shared" si="1"/>
        <v>7</v>
      </c>
    </row>
    <row r="10" spans="1:21" x14ac:dyDescent="0.3">
      <c r="C10" s="7">
        <v>13</v>
      </c>
      <c r="E10" cm="1">
        <f t="array" ref="E10">SUM(J10:U10*J$15:U$15)</f>
        <v>417.5</v>
      </c>
      <c r="F10">
        <f t="shared" si="0"/>
        <v>23</v>
      </c>
      <c r="J10">
        <f t="shared" ref="J10:U10" si="2">J3</f>
        <v>0</v>
      </c>
      <c r="K10">
        <v>12.5</v>
      </c>
      <c r="L10">
        <v>2.5</v>
      </c>
      <c r="M10">
        <v>2</v>
      </c>
      <c r="N10">
        <f t="shared" si="2"/>
        <v>2</v>
      </c>
      <c r="O10">
        <f t="shared" si="2"/>
        <v>2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0</v>
      </c>
      <c r="T10">
        <f t="shared" si="2"/>
        <v>4</v>
      </c>
      <c r="U10">
        <f t="shared" si="2"/>
        <v>9</v>
      </c>
    </row>
    <row r="11" spans="1:21" x14ac:dyDescent="0.3">
      <c r="C11">
        <v>15</v>
      </c>
      <c r="E11" cm="1">
        <f t="array" ref="E11">SUM(J11:U11*J$15:U$15)</f>
        <v>565</v>
      </c>
      <c r="F11">
        <f t="shared" si="0"/>
        <v>17</v>
      </c>
      <c r="J11">
        <f t="shared" ref="J11:U11" si="3">J4</f>
        <v>0</v>
      </c>
      <c r="K11">
        <f t="shared" si="3"/>
        <v>5</v>
      </c>
      <c r="L11">
        <f t="shared" si="3"/>
        <v>3</v>
      </c>
      <c r="M11">
        <f t="shared" si="3"/>
        <v>7</v>
      </c>
      <c r="N11">
        <f t="shared" si="3"/>
        <v>1</v>
      </c>
      <c r="O11">
        <f t="shared" si="3"/>
        <v>0</v>
      </c>
      <c r="P11">
        <v>1.25</v>
      </c>
      <c r="Q11">
        <f t="shared" si="3"/>
        <v>0</v>
      </c>
      <c r="R11">
        <f t="shared" si="3"/>
        <v>0</v>
      </c>
      <c r="S11">
        <f t="shared" si="3"/>
        <v>4</v>
      </c>
      <c r="T11">
        <f t="shared" si="3"/>
        <v>3</v>
      </c>
      <c r="U11">
        <f t="shared" si="3"/>
        <v>17</v>
      </c>
    </row>
    <row r="12" spans="1:21" x14ac:dyDescent="0.3">
      <c r="C12">
        <v>4</v>
      </c>
      <c r="E12" cm="1">
        <f t="array" ref="E12">SUM(J12:U12*J$15:U$15)</f>
        <v>270</v>
      </c>
      <c r="F12">
        <f t="shared" si="0"/>
        <v>37</v>
      </c>
      <c r="J12">
        <f t="shared" ref="J12:U12" si="4">J5</f>
        <v>1</v>
      </c>
      <c r="K12">
        <f t="shared" si="4"/>
        <v>11</v>
      </c>
      <c r="L12">
        <f t="shared" si="4"/>
        <v>2</v>
      </c>
      <c r="M12">
        <f t="shared" si="4"/>
        <v>5</v>
      </c>
      <c r="N12">
        <f t="shared" si="4"/>
        <v>1</v>
      </c>
      <c r="O12">
        <f t="shared" si="4"/>
        <v>0</v>
      </c>
      <c r="P12">
        <f t="shared" si="4"/>
        <v>0</v>
      </c>
      <c r="Q12">
        <f t="shared" si="4"/>
        <v>0</v>
      </c>
      <c r="R12">
        <f t="shared" si="4"/>
        <v>0</v>
      </c>
      <c r="S12">
        <f t="shared" si="4"/>
        <v>0</v>
      </c>
      <c r="T12">
        <f t="shared" si="4"/>
        <v>3</v>
      </c>
      <c r="U12">
        <f t="shared" si="4"/>
        <v>6</v>
      </c>
    </row>
    <row r="13" spans="1:21" x14ac:dyDescent="0.3">
      <c r="C13">
        <v>4</v>
      </c>
      <c r="E13" cm="1">
        <f t="array" ref="E13">SUM(J13:U13*J$15:U$15)</f>
        <v>145</v>
      </c>
      <c r="F13">
        <f t="shared" si="0"/>
        <v>40</v>
      </c>
      <c r="J13">
        <f t="shared" ref="J13:U13" si="5">J6</f>
        <v>0</v>
      </c>
      <c r="K13">
        <v>4.5</v>
      </c>
      <c r="L13">
        <f t="shared" si="5"/>
        <v>0</v>
      </c>
      <c r="M13">
        <v>0.5</v>
      </c>
      <c r="N13">
        <v>1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</v>
      </c>
      <c r="T13">
        <f t="shared" si="5"/>
        <v>3</v>
      </c>
      <c r="U13">
        <f t="shared" si="5"/>
        <v>4</v>
      </c>
    </row>
    <row r="15" spans="1:21" x14ac:dyDescent="0.3">
      <c r="J15">
        <v>10</v>
      </c>
      <c r="K15">
        <v>5</v>
      </c>
      <c r="L15">
        <v>10</v>
      </c>
      <c r="M15">
        <v>5</v>
      </c>
      <c r="N15">
        <v>10</v>
      </c>
      <c r="O15">
        <v>40</v>
      </c>
      <c r="P15">
        <v>60</v>
      </c>
      <c r="Q15">
        <v>20</v>
      </c>
      <c r="R15">
        <v>50</v>
      </c>
      <c r="S15">
        <v>5</v>
      </c>
      <c r="T15">
        <v>10</v>
      </c>
      <c r="U15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9848-7B7A-4B0E-ACA4-2755850F339A}">
  <dimension ref="A1:U15"/>
  <sheetViews>
    <sheetView workbookViewId="0">
      <selection activeCell="J18" sqref="J18"/>
    </sheetView>
  </sheetViews>
  <sheetFormatPr defaultRowHeight="14.4" x14ac:dyDescent="0.3"/>
  <cols>
    <col min="10" max="21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4</v>
      </c>
      <c r="D2">
        <v>350</v>
      </c>
      <c r="E2">
        <v>291.25</v>
      </c>
      <c r="F2">
        <v>34</v>
      </c>
      <c r="G2">
        <v>617</v>
      </c>
      <c r="H2">
        <v>90.64</v>
      </c>
      <c r="I2">
        <v>199.49910199999999</v>
      </c>
      <c r="J2">
        <v>2</v>
      </c>
      <c r="K2">
        <v>4</v>
      </c>
      <c r="L2">
        <v>0</v>
      </c>
      <c r="M2">
        <v>0</v>
      </c>
      <c r="N2">
        <v>0</v>
      </c>
      <c r="O2">
        <v>1.5</v>
      </c>
      <c r="P2">
        <v>0</v>
      </c>
      <c r="Q2">
        <v>0</v>
      </c>
      <c r="R2">
        <v>0</v>
      </c>
      <c r="S2">
        <v>2.25</v>
      </c>
      <c r="T2">
        <v>4</v>
      </c>
      <c r="U2">
        <v>7</v>
      </c>
    </row>
    <row r="3" spans="1:21" x14ac:dyDescent="0.3">
      <c r="A3">
        <v>2</v>
      </c>
      <c r="B3">
        <v>1</v>
      </c>
      <c r="C3">
        <v>8</v>
      </c>
      <c r="D3">
        <v>220</v>
      </c>
      <c r="E3">
        <v>341.25</v>
      </c>
      <c r="F3">
        <v>29</v>
      </c>
      <c r="G3">
        <v>611</v>
      </c>
      <c r="H3">
        <v>91.12</v>
      </c>
      <c r="I3">
        <v>651.25568699999997</v>
      </c>
      <c r="J3">
        <v>3</v>
      </c>
      <c r="K3">
        <v>4</v>
      </c>
      <c r="L3">
        <v>0</v>
      </c>
      <c r="M3">
        <v>0</v>
      </c>
      <c r="N3">
        <v>0</v>
      </c>
      <c r="O3">
        <v>1.5</v>
      </c>
      <c r="P3">
        <v>0</v>
      </c>
      <c r="Q3">
        <v>0</v>
      </c>
      <c r="R3">
        <v>0</v>
      </c>
      <c r="S3">
        <v>2.25</v>
      </c>
      <c r="T3">
        <v>4</v>
      </c>
      <c r="U3">
        <v>9</v>
      </c>
    </row>
    <row r="4" spans="1:21" x14ac:dyDescent="0.3">
      <c r="A4">
        <v>3</v>
      </c>
      <c r="B4">
        <v>1</v>
      </c>
      <c r="C4">
        <v>12</v>
      </c>
      <c r="D4">
        <v>280</v>
      </c>
      <c r="E4">
        <v>525</v>
      </c>
      <c r="F4">
        <v>19</v>
      </c>
      <c r="G4">
        <v>597</v>
      </c>
      <c r="H4">
        <v>92.24</v>
      </c>
      <c r="I4">
        <v>483.02116599999999</v>
      </c>
      <c r="J4">
        <v>6</v>
      </c>
      <c r="K4">
        <v>0</v>
      </c>
      <c r="L4">
        <v>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5</v>
      </c>
      <c r="T4">
        <v>4</v>
      </c>
      <c r="U4">
        <v>17</v>
      </c>
    </row>
    <row r="5" spans="1:21" x14ac:dyDescent="0.3">
      <c r="A5">
        <v>4</v>
      </c>
      <c r="B5">
        <v>1</v>
      </c>
      <c r="C5">
        <v>14</v>
      </c>
      <c r="D5">
        <v>200</v>
      </c>
      <c r="E5">
        <v>592.5</v>
      </c>
      <c r="F5">
        <v>16</v>
      </c>
      <c r="G5">
        <v>881</v>
      </c>
      <c r="H5">
        <v>69.52000000000001</v>
      </c>
      <c r="I5">
        <v>1569.1920500000001</v>
      </c>
      <c r="J5">
        <v>0</v>
      </c>
      <c r="K5">
        <v>2.5</v>
      </c>
      <c r="L5">
        <v>0</v>
      </c>
      <c r="M5">
        <v>0</v>
      </c>
      <c r="N5">
        <v>3</v>
      </c>
      <c r="O5">
        <v>0</v>
      </c>
      <c r="P5">
        <v>2</v>
      </c>
      <c r="Q5">
        <v>1</v>
      </c>
      <c r="R5">
        <v>2</v>
      </c>
      <c r="S5">
        <v>0</v>
      </c>
      <c r="T5">
        <v>3</v>
      </c>
      <c r="U5">
        <v>14</v>
      </c>
    </row>
    <row r="6" spans="1:21" x14ac:dyDescent="0.3">
      <c r="A6">
        <v>5</v>
      </c>
      <c r="B6">
        <v>1</v>
      </c>
      <c r="C6">
        <v>4</v>
      </c>
      <c r="D6">
        <v>250</v>
      </c>
      <c r="E6">
        <v>265</v>
      </c>
      <c r="F6">
        <v>37</v>
      </c>
      <c r="G6">
        <v>576</v>
      </c>
      <c r="H6">
        <v>93.92</v>
      </c>
      <c r="I6">
        <v>325.49756300000001</v>
      </c>
      <c r="J6">
        <v>1.5</v>
      </c>
      <c r="K6">
        <v>6</v>
      </c>
      <c r="L6">
        <v>5</v>
      </c>
      <c r="M6">
        <v>0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5</v>
      </c>
    </row>
    <row r="7" spans="1:21" ht="15" thickBot="1" x14ac:dyDescent="0.35"/>
    <row r="8" spans="1:21" x14ac:dyDescent="0.3">
      <c r="A8" t="s">
        <v>0</v>
      </c>
      <c r="B8" t="s">
        <v>1</v>
      </c>
      <c r="C8" s="1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4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6" t="s">
        <v>20</v>
      </c>
    </row>
    <row r="9" spans="1:21" x14ac:dyDescent="0.3">
      <c r="A9">
        <v>1</v>
      </c>
      <c r="C9" s="20">
        <v>9</v>
      </c>
      <c r="E9" s="10" cm="1">
        <f t="array" ref="E9">SUM(J9:U9*J$15:U$15)</f>
        <v>301.25</v>
      </c>
      <c r="F9" s="10">
        <f t="shared" ref="F9:F13" si="0">MIN(FLOOR(10000/E9,1),40)</f>
        <v>33</v>
      </c>
      <c r="J9">
        <v>3</v>
      </c>
      <c r="K9">
        <f t="shared" ref="K9:U9" si="1">K2</f>
        <v>4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1.5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2.25</v>
      </c>
      <c r="T9">
        <f t="shared" si="1"/>
        <v>4</v>
      </c>
      <c r="U9">
        <f t="shared" si="1"/>
        <v>7</v>
      </c>
    </row>
    <row r="10" spans="1:21" x14ac:dyDescent="0.3">
      <c r="A10">
        <v>2</v>
      </c>
      <c r="C10" s="20">
        <v>9</v>
      </c>
      <c r="E10" s="10" cm="1">
        <f t="array" ref="E10">SUM(J10:U10*J$15:U$15)</f>
        <v>356.25</v>
      </c>
      <c r="F10" s="10">
        <f t="shared" si="0"/>
        <v>28</v>
      </c>
      <c r="J10" s="10">
        <v>4.5</v>
      </c>
      <c r="K10">
        <f t="shared" ref="J10:U13" si="2">K3</f>
        <v>4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1.5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2.25</v>
      </c>
      <c r="T10">
        <f t="shared" si="2"/>
        <v>4</v>
      </c>
      <c r="U10">
        <f t="shared" si="2"/>
        <v>9</v>
      </c>
    </row>
    <row r="11" spans="1:21" x14ac:dyDescent="0.3">
      <c r="A11">
        <v>3</v>
      </c>
      <c r="C11" s="20">
        <v>15</v>
      </c>
      <c r="E11" s="10" cm="1">
        <f t="array" ref="E11">SUM(J11:U11*J$15:U$15)</f>
        <v>615</v>
      </c>
      <c r="F11" s="10">
        <f t="shared" si="0"/>
        <v>16</v>
      </c>
      <c r="J11">
        <f t="shared" si="2"/>
        <v>6</v>
      </c>
      <c r="K11">
        <f t="shared" si="2"/>
        <v>0</v>
      </c>
      <c r="L11">
        <f t="shared" si="2"/>
        <v>6</v>
      </c>
      <c r="M11">
        <f t="shared" si="2"/>
        <v>0</v>
      </c>
      <c r="N11">
        <f t="shared" si="2"/>
        <v>0</v>
      </c>
      <c r="O11">
        <f t="shared" si="2"/>
        <v>0</v>
      </c>
      <c r="P11" s="10">
        <v>1.5</v>
      </c>
      <c r="Q11">
        <f t="shared" si="2"/>
        <v>0</v>
      </c>
      <c r="R11">
        <f t="shared" si="2"/>
        <v>0</v>
      </c>
      <c r="S11">
        <f t="shared" si="2"/>
        <v>5</v>
      </c>
      <c r="T11">
        <f t="shared" si="2"/>
        <v>4</v>
      </c>
      <c r="U11">
        <f t="shared" si="2"/>
        <v>17</v>
      </c>
    </row>
    <row r="12" spans="1:21" x14ac:dyDescent="0.3">
      <c r="A12">
        <v>4</v>
      </c>
      <c r="C12" s="20">
        <v>20</v>
      </c>
      <c r="E12" s="8" cm="1">
        <f t="array" ref="E12">SUM(J12:U12*J$15:U$15)</f>
        <v>572.5</v>
      </c>
      <c r="F12" s="8">
        <f t="shared" si="0"/>
        <v>17</v>
      </c>
      <c r="J12">
        <f t="shared" si="2"/>
        <v>0</v>
      </c>
      <c r="K12" s="8">
        <v>1.5</v>
      </c>
      <c r="L12">
        <f t="shared" si="2"/>
        <v>0</v>
      </c>
      <c r="M12">
        <f t="shared" si="2"/>
        <v>0</v>
      </c>
      <c r="N12">
        <f t="shared" si="2"/>
        <v>3</v>
      </c>
      <c r="O12">
        <f t="shared" si="2"/>
        <v>0</v>
      </c>
      <c r="P12" s="8">
        <v>1.75</v>
      </c>
      <c r="Q12">
        <f t="shared" si="2"/>
        <v>1</v>
      </c>
      <c r="R12">
        <f t="shared" si="2"/>
        <v>2</v>
      </c>
      <c r="S12">
        <f t="shared" si="2"/>
        <v>0</v>
      </c>
      <c r="T12">
        <f t="shared" si="2"/>
        <v>3</v>
      </c>
      <c r="U12">
        <f t="shared" si="2"/>
        <v>14</v>
      </c>
    </row>
    <row r="13" spans="1:21" x14ac:dyDescent="0.3">
      <c r="A13">
        <v>5</v>
      </c>
      <c r="C13" s="20">
        <v>5</v>
      </c>
      <c r="E13" s="11" cm="1">
        <f t="array" ref="E13">SUM(J13:U13*J$15:U$15)</f>
        <v>265</v>
      </c>
      <c r="F13" s="11">
        <f t="shared" si="0"/>
        <v>37</v>
      </c>
      <c r="J13">
        <v>1.5</v>
      </c>
      <c r="K13">
        <f t="shared" si="2"/>
        <v>6</v>
      </c>
      <c r="L13">
        <f t="shared" si="2"/>
        <v>5</v>
      </c>
      <c r="M13">
        <f t="shared" si="2"/>
        <v>0</v>
      </c>
      <c r="N13">
        <f t="shared" si="2"/>
        <v>3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4</v>
      </c>
      <c r="U13">
        <f t="shared" si="2"/>
        <v>5</v>
      </c>
    </row>
    <row r="15" spans="1:21" x14ac:dyDescent="0.3">
      <c r="J15">
        <v>10</v>
      </c>
      <c r="K15">
        <v>5</v>
      </c>
      <c r="L15">
        <v>10</v>
      </c>
      <c r="M15">
        <v>5</v>
      </c>
      <c r="N15">
        <v>10</v>
      </c>
      <c r="O15">
        <v>40</v>
      </c>
      <c r="P15">
        <v>60</v>
      </c>
      <c r="Q15">
        <v>20</v>
      </c>
      <c r="R15">
        <v>50</v>
      </c>
      <c r="S15">
        <v>5</v>
      </c>
      <c r="T15">
        <v>10</v>
      </c>
      <c r="U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GA</vt:lpstr>
      <vt:lpstr>GB</vt:lpstr>
      <vt:lpstr>GC</vt:lpstr>
      <vt:lpstr>GD</vt:lpstr>
      <vt:lpstr>GE</vt:lpstr>
      <vt:lpstr>GF</vt:lpstr>
      <vt:lpstr>GG</vt:lpstr>
      <vt:lpstr>GH</vt:lpstr>
      <vt:lpstr>GI</vt:lpstr>
      <vt:lpstr>GJ</vt:lpstr>
      <vt:lpstr>GK</vt:lpstr>
      <vt:lpstr>GL</vt:lpstr>
      <vt:lpstr>GM</vt:lpstr>
      <vt:lpstr>GN</vt:lpstr>
      <vt:lpstr>GO</vt:lpstr>
      <vt:lpstr>GP</vt:lpstr>
      <vt:lpstr>GQ</vt:lpstr>
      <vt:lpstr>GR</vt:lpstr>
      <vt:lpstr>GS</vt:lpstr>
      <vt:lpstr>GT</vt:lpstr>
      <vt:lpstr>GU</vt:lpstr>
      <vt:lpstr>GV</vt:lpstr>
      <vt:lpstr>GW</vt:lpstr>
      <vt:lpstr>GX</vt:lpstr>
      <vt:lpstr>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Jetton, Cole Martin</dc:creator>
  <cp:lastModifiedBy>Jetton, Cole Martin</cp:lastModifiedBy>
  <dcterms:created xsi:type="dcterms:W3CDTF">2025-03-04T20:06:08Z</dcterms:created>
  <dcterms:modified xsi:type="dcterms:W3CDTF">2025-04-14T17:52:05Z</dcterms:modified>
</cp:coreProperties>
</file>